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2"/>
  <workbookPr/>
  <mc:AlternateContent xmlns:mc="http://schemas.openxmlformats.org/markup-compatibility/2006">
    <mc:Choice Requires="x15">
      <x15ac:absPath xmlns:x15ac="http://schemas.microsoft.com/office/spreadsheetml/2010/11/ac" url="F:\SAFRO\งานแผนยุทธศาสตร์คณะแพทยศาสตร์และการสาธารณสุข\ทบทวนแผนยุทธศาสตร์ วพศส. ปี 2568\"/>
    </mc:Choice>
  </mc:AlternateContent>
  <xr:revisionPtr revIDLastSave="1" documentId="8_{A4BDF6F8-E814-4FCE-AF9E-27A4068A96FC}" xr6:coauthVersionLast="47" xr6:coauthVersionMax="47" xr10:uidLastSave="{4A7184F5-DD02-44F8-86C3-6F960C331FCA}"/>
  <bookViews>
    <workbookView xWindow="-120" yWindow="-120" windowWidth="24240" windowHeight="13020" tabRatio="911" firstSheet="1" activeTab="2" xr2:uid="{00000000-000D-0000-FFFF-FFFF00000000}"/>
  </bookViews>
  <sheets>
    <sheet name="ทบทวน 5 ยุทธ์ ปี 2568 (รวม)" sheetId="9" r:id="rId1"/>
    <sheet name="ยุทธศาสตร์ที่ 1 (แก้ไข)" sheetId="2" r:id="rId2"/>
    <sheet name="ยุทธศาสตร์ที่ 2 (แก้ไข)" sheetId="3" r:id="rId3"/>
    <sheet name="ยุทธศาสตร์ที่ 3 (แก้ไข)" sheetId="4" r:id="rId4"/>
    <sheet name="ยุทธศาสตร์ที่ 4 (แก้ไข)" sheetId="7" r:id="rId5"/>
    <sheet name="ยุทธศาสตร์ที่ 5 (แก้ไข)" sheetId="8" r:id="rId6"/>
    <sheet name="ทบทวน 5 ยุทธ์ ปี 2568" sheetId="1" state="hidden" r:id="rId7"/>
    <sheet name="ยุทธศาสตร์ที่ 5 (รวม 2 กลุ่ม)" sheetId="6" state="hidden" r:id="rId8"/>
    <sheet name="ยุทธศาสตร์ที่ 4 (รวม 2 กลุ่ม)" sheetId="5"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9" i="5" l="1"/>
  <c r="E44" i="6"/>
  <c r="M136" i="1"/>
  <c r="M102" i="1"/>
  <c r="M86" i="1"/>
  <c r="M49" i="1"/>
  <c r="M7" i="1"/>
  <c r="H43" i="8"/>
  <c r="H73" i="7"/>
  <c r="O43" i="7"/>
  <c r="N43" i="7"/>
  <c r="M43" i="7"/>
  <c r="H37" i="4"/>
  <c r="D35" i="4"/>
  <c r="H49" i="3"/>
  <c r="H62" i="2"/>
  <c r="H181" i="9"/>
  <c r="E181" i="9"/>
  <c r="H174" i="9"/>
  <c r="E174" i="9"/>
  <c r="H173" i="9"/>
  <c r="E173" i="9"/>
  <c r="H172" i="9"/>
  <c r="E172" i="9"/>
  <c r="O116" i="9"/>
  <c r="N116" i="9"/>
  <c r="M11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Supapun Luengingkasoot</author>
  </authors>
  <commentList>
    <comment ref="I116" authorId="0" shapeId="0" xr:uid="{00000000-0006-0000-0000-000001000000}">
      <text>
        <r>
          <rPr>
            <b/>
            <sz val="9"/>
            <rFont val="Tahoma"/>
            <charset val="134"/>
          </rPr>
          <t>Supapun Luengingkasoot:</t>
        </r>
        <r>
          <rPr>
            <sz val="9"/>
            <rFont val="Tahoma"/>
            <charset val="134"/>
          </rPr>
          <t xml:space="preserve">
การพัฒนาระบบ Paperless หรือ "องค์กรไร้กระดาษ" มีเกณฑ์และแนวทางที่ใช้ประเมินเพื่อให้การดำเนินงานมีประสิทธิภาพและสอดคล้องกับเป้าหมายองค์กร โดยสามารถแบ่งเกณฑ์ออกเป็น 4 ด้านหลัก ดังนี้:
1. การลดการใช้กระดาษในกระบวนการทำงาน
เกณฑ์การประเมิน:
1. สัดส่วนการลดการใช้กระดาษในกระบวนการหลัก (% Reduction) เช่น ลดลง 50% ภายใน 1 ปี
2. การแทนที่กระบวนการเอกสารกระดาษด้วยระบบดิจิทัล เช่น ระบบ e-Document, e-Form หรือ e-Signature
3. จำนวนกระบวนการที่เปลี่ยนไปใช้ระบบดิจิทัลแทนกระดาษ เช่น ระบบจัดเก็บเอกสาร, ระบบจัดซื้อ, หรือระบบ HR
2. การพัฒนาระบบจัดเก็บและจัดการข้อมูลดิจิทัล
เกณฑ์การประเมิน:
1. ความพร้อมของระบบจัดเก็บข้อมูลอิเล็กทรอนิกส์ เช่น Cloud Storage หรือ DMS (Document Management System)
2. การเข้าถึงข้อมูลที่รวดเร็วและปลอดภัย เช่น การใช้งานระบบค้นหาเอกสารที่แม่นยำ
3. การกำหนดสิทธิ์การเข้าถึง (Access Control) เพื่อป้องกันข้อมูลรั่วไหล
3. ประสิทธิภาพและผลกระทบต่อสิ่งแวดล้อม
เกณฑ์การประเมิน:
1. การลดปริมาณขยะกระดาษในองค์กร เช่น สถิติการลดการใช้กระดาษ A4 หรือการพิมพ์
2. การลดการใช้ทรัพยากรอื่นที่เกี่ยวข้อง เช่น หมึกพิมพ์, เครื่องพิมพ์, และพื้นที่จัดเก็บเอกสาร
3. ผลกระทบเชิงบวกต่อสิ่งแวดล้อม เช่น การลดการปล่อยคาร์บอน (Carbon Footprint) จากการขนส่งเอกสาร
4. การสนับสนุนและยอมรับจากบุคลากร
เกณฑ์การประเมิน:
1. ความพร้อมของบุคลากรในการใช้งานระบบดิจิทัล เช่น การอบรมการใช้ระบบ e-Office หรือ e-Workflow
2. อัตราการใช้งานระบบดิจิทัลแทนกระดาษ (%) เช่น การส่งแบบฟอร์มและอนุมัติผ่านระบบออนไลน์
3. ความพึงพอใจของบุคลากรต่อระบบ Paperless เช่น การสำรวจความคิดเห็นและผลตอบรับ
ตัวชี้วัดที่นิยมใช้ในการประเมิน Paperless
1. ร้อยละของกระบวนการที่เปลี่ยนเป็นดิจิทัล (Digitalization Ratio)
เช่น 80% ของเอกสารทั้งหมดถูกเปลี่ยนเป็นดิจิทัล
2. ปริมาณกระดาษที่ลดลง
เช่น ลดการใช้กระดาษ A4 ลง 1,000 แผ่นต่อเดือน
3. ระยะเวลาในการดำเนินการ
เช่น ลดเวลาการดำเนินงานจาก 5 วันเหลือ 2 วันผ่านระบบออนไลน์
4. จำนวนหน่วยงานที่เปลี่ยนไปใช้ระบบดิจิทัล
เช่น ทุกหน่วยงานในองค์กรปรับใช้ระบบ e-Document
ตัวอย่างแนวทางการนำ Paperless ไปปฏิบัติ
1. เริ่มจากกระบวนการที่ใช้กระดาษจำนวนมากที่สุด: เช่น การประชุม, การอนุมัติเอกสาร, หรือระบบจัดซื้อ
2. นำระบบดิจิทัลเข้ามาทดแทน: เช่น ใช้ e-Signature ในการอนุมัติแทนการพิมพ์
3. ให้ความรู้แก่บุคลากร: จัดอบรมการใช้งานระบบใหม่เพื่อความมั่นใจ
4. ติดตามและประเมินผล: ตรวจสอบความคุ้มค่าและปรับปรุงระบบอย่างต่อเนื่อง</t>
        </r>
      </text>
    </comment>
    <comment ref="M116" authorId="0" shapeId="0" xr:uid="{00000000-0006-0000-0000-000002000000}">
      <text>
        <r>
          <rPr>
            <b/>
            <sz val="9"/>
            <rFont val="Tahoma"/>
            <charset val="134"/>
          </rPr>
          <t>Supapun Luengingkasoot:</t>
        </r>
        <r>
          <rPr>
            <sz val="9"/>
            <rFont val="Tahoma"/>
            <charset val="134"/>
          </rPr>
          <t xml:space="preserve">
13 งาน
ปี 2568 Paperless 4 งาน  
ปี 2569 Paperless 6 งาน 
ปี 2570 Paperless 10 งาน </t>
        </r>
      </text>
    </comment>
    <comment ref="N116" authorId="0" shapeId="0" xr:uid="{00000000-0006-0000-0000-000003000000}">
      <text>
        <r>
          <rPr>
            <b/>
            <sz val="9"/>
            <rFont val="Tahoma"/>
            <charset val="134"/>
          </rPr>
          <t>Supapun Luengingkasoot:</t>
        </r>
        <r>
          <rPr>
            <sz val="9"/>
            <rFont val="Tahoma"/>
            <charset val="134"/>
          </rPr>
          <t xml:space="preserve">
13 งาน
ปี 2568 Paperless 4 งาน  
ปี 2569 Paperless 6 งาน 
ปี 2570 Paperless 10 งาน </t>
        </r>
      </text>
    </comment>
    <comment ref="O116" authorId="0" shapeId="0" xr:uid="{00000000-0006-0000-0000-000004000000}">
      <text>
        <r>
          <rPr>
            <b/>
            <sz val="9"/>
            <rFont val="Tahoma"/>
            <charset val="134"/>
          </rPr>
          <t>Supapun Luengingkasoot:</t>
        </r>
        <r>
          <rPr>
            <sz val="9"/>
            <rFont val="Tahoma"/>
            <charset val="134"/>
          </rPr>
          <t xml:space="preserve">
13 งาน
ปี 2568 Paperless 4 งาน  
ปี 2569 Paperless 6 งาน 
ปี 2570 Paperless 10 งาน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Supapun Luengingkasoot</author>
  </authors>
  <commentList>
    <comment ref="I43" authorId="0" shapeId="0" xr:uid="{00000000-0006-0000-0400-000001000000}">
      <text>
        <r>
          <rPr>
            <b/>
            <sz val="9"/>
            <rFont val="Tahoma"/>
            <charset val="134"/>
          </rPr>
          <t>Supapun Luengingkasoot:</t>
        </r>
        <r>
          <rPr>
            <sz val="9"/>
            <rFont val="Tahoma"/>
            <charset val="134"/>
          </rPr>
          <t xml:space="preserve">
การพัฒนาระบบ Paperless หรือ "องค์กรไร้กระดาษ" มีเกณฑ์และแนวทางที่ใช้ประเมินเพื่อให้การดำเนินงานมีประสิทธิภาพและสอดคล้องกับเป้าหมายองค์กร โดยสามารถแบ่งเกณฑ์ออกเป็น 4 ด้านหลัก ดังนี้:
1. การลดการใช้กระดาษในกระบวนการทำงาน
เกณฑ์การประเมิน:
1. สัดส่วนการลดการใช้กระดาษในกระบวนการหลัก (% Reduction) เช่น ลดลง 50% ภายใน 1 ปี
2. การแทนที่กระบวนการเอกสารกระดาษด้วยระบบดิจิทัล เช่น ระบบ e-Document, e-Form หรือ e-Signature
3. จำนวนกระบวนการที่เปลี่ยนไปใช้ระบบดิจิทัลแทนกระดาษ เช่น ระบบจัดเก็บเอกสาร, ระบบจัดซื้อ, หรือระบบ HR
2. การพัฒนาระบบจัดเก็บและจัดการข้อมูลดิจิทัล
เกณฑ์การประเมิน:
1. ความพร้อมของระบบจัดเก็บข้อมูลอิเล็กทรอนิกส์ เช่น Cloud Storage หรือ DMS (Document Management System)
2. การเข้าถึงข้อมูลที่รวดเร็วและปลอดภัย เช่น การใช้งานระบบค้นหาเอกสารที่แม่นยำ
3. การกำหนดสิทธิ์การเข้าถึง (Access Control) เพื่อป้องกันข้อมูลรั่วไหล
3. ประสิทธิภาพและผลกระทบต่อสิ่งแวดล้อม
เกณฑ์การประเมิน:
1. การลดปริมาณขยะกระดาษในองค์กร เช่น สถิติการลดการใช้กระดาษ A4 หรือการพิมพ์
2. การลดการใช้ทรัพยากรอื่นที่เกี่ยวข้อง เช่น หมึกพิมพ์, เครื่องพิมพ์, และพื้นที่จัดเก็บเอกสาร
3. ผลกระทบเชิงบวกต่อสิ่งแวดล้อม เช่น การลดการปล่อยคาร์บอน (Carbon Footprint) จากการขนส่งเอกสาร
4. การสนับสนุนและยอมรับจากบุคลากร
เกณฑ์การประเมิน:
1. ความพร้อมของบุคลากรในการใช้งานระบบดิจิทัล เช่น การอบรมการใช้ระบบ e-Office หรือ e-Workflow
2. อัตราการใช้งานระบบดิจิทัลแทนกระดาษ (%) เช่น การส่งแบบฟอร์มและอนุมัติผ่านระบบออนไลน์
3. ความพึงพอใจของบุคลากรต่อระบบ Paperless เช่น การสำรวจความคิดเห็นและผลตอบรับ
ตัวชี้วัดที่นิยมใช้ในการประเมิน Paperless
1. ร้อยละของกระบวนการที่เปลี่ยนเป็นดิจิทัล (Digitalization Ratio)
เช่น 80% ของเอกสารทั้งหมดถูกเปลี่ยนเป็นดิจิทัล
2. ปริมาณกระดาษที่ลดลง
เช่น ลดการใช้กระดาษ A4 ลง 1,000 แผ่นต่อเดือน
3. ระยะเวลาในการดำเนินการ
เช่น ลดเวลาการดำเนินงานจาก 5 วันเหลือ 2 วันผ่านระบบออนไลน์
4. จำนวนหน่วยงานที่เปลี่ยนไปใช้ระบบดิจิทัล
เช่น ทุกหน่วยงานในองค์กรปรับใช้ระบบ e-Document
ตัวอย่างแนวทางการนำ Paperless ไปปฏิบัติ
1. เริ่มจากกระบวนการที่ใช้กระดาษจำนวนมากที่สุด: เช่น การประชุม, การอนุมัติเอกสาร, หรือระบบจัดซื้อ
2. นำระบบดิจิทัลเข้ามาทดแทน: เช่น ใช้ e-Signature ในการอนุมัติแทนการพิมพ์
3. ให้ความรู้แก่บุคลากร: จัดอบรมการใช้งานระบบใหม่เพื่อความมั่นใจ
4. ติดตามและประเมินผล: ตรวจสอบความคุ้มค่าและปรับปรุงระบบอย่างต่อเนื่อง</t>
        </r>
      </text>
    </comment>
    <comment ref="M43" authorId="0" shapeId="0" xr:uid="{00000000-0006-0000-0400-000002000000}">
      <text>
        <r>
          <rPr>
            <b/>
            <sz val="9"/>
            <rFont val="Tahoma"/>
            <charset val="134"/>
          </rPr>
          <t>Supapun Luengingkasoot:</t>
        </r>
        <r>
          <rPr>
            <sz val="9"/>
            <rFont val="Tahoma"/>
            <charset val="134"/>
          </rPr>
          <t xml:space="preserve">
13 งาน
ปี 2568 Paperless 4 งาน  
ปี 2569 Paperless 6 งาน 
ปี 2570 Paperless 10 งาน </t>
        </r>
      </text>
    </comment>
    <comment ref="N43" authorId="0" shapeId="0" xr:uid="{00000000-0006-0000-0400-000003000000}">
      <text>
        <r>
          <rPr>
            <b/>
            <sz val="9"/>
            <rFont val="Tahoma"/>
            <charset val="134"/>
          </rPr>
          <t>Supapun Luengingkasoot:</t>
        </r>
        <r>
          <rPr>
            <sz val="9"/>
            <rFont val="Tahoma"/>
            <charset val="134"/>
          </rPr>
          <t xml:space="preserve">
13 งาน
ปี 2568 Paperless 4 งาน  
ปี 2569 Paperless 6 งาน 
ปี 2570 Paperless 10 งาน </t>
        </r>
      </text>
    </comment>
    <comment ref="O43" authorId="0" shapeId="0" xr:uid="{00000000-0006-0000-0400-000004000000}">
      <text>
        <r>
          <rPr>
            <b/>
            <sz val="9"/>
            <rFont val="Tahoma"/>
            <charset val="134"/>
          </rPr>
          <t>Supapun Luengingkasoot:</t>
        </r>
        <r>
          <rPr>
            <sz val="9"/>
            <rFont val="Tahoma"/>
            <charset val="134"/>
          </rPr>
          <t xml:space="preserve">
13 งาน
ปี 2568 Paperless 4 งาน  
ปี 2569 Paperless 6 งาน 
ปี 2570 Paperless 10 งาน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Supapun Luengingkasoot</author>
  </authors>
  <commentList>
    <comment ref="E24" authorId="0" shapeId="0" xr:uid="{00000000-0006-0000-0600-000001000000}">
      <text>
        <r>
          <rPr>
            <b/>
            <sz val="9"/>
            <rFont val="Tahoma"/>
            <charset val="134"/>
          </rPr>
          <t>Supapun Luengingkasoot:</t>
        </r>
        <r>
          <rPr>
            <sz val="9"/>
            <rFont val="Tahoma"/>
            <charset val="134"/>
          </rPr>
          <t xml:space="preserve">
เป็นตัวชี้วัดที่วัดที่ผลลัพธ์ของการส่งเสริมศักยภาพในด้านต่างๆ เลย ไม่วัด Process</t>
        </r>
      </text>
    </comment>
  </commentList>
</comments>
</file>

<file path=xl/sharedStrings.xml><?xml version="1.0" encoding="utf-8"?>
<sst xmlns="http://schemas.openxmlformats.org/spreadsheetml/2006/main" count="4105" uniqueCount="1133">
  <si>
    <t>ตอบสนองยุทธศาสตร์รจภ. 
หรือ OP/ OC / EdPEX</t>
  </si>
  <si>
    <t>ยุทธศาสตร์ที่ 1</t>
  </si>
  <si>
    <t>Creating unparalleled opportunities for student success
สร้างโอกาสที่เหนือชั้นเพื่อความสำเร็จของผู้เรียน</t>
  </si>
  <si>
    <t>Strategic packages</t>
  </si>
  <si>
    <t>SP 1(1): Futuristic Curriculum with International Quality</t>
  </si>
  <si>
    <t>CKPI</t>
  </si>
  <si>
    <t>OP/ OC</t>
  </si>
  <si>
    <t>QA</t>
  </si>
  <si>
    <t>แผนปฏิบัติการ/โครงการ</t>
  </si>
  <si>
    <t>Lead Team</t>
  </si>
  <si>
    <t>ผู้รับผิดชอบโครงการ</t>
  </si>
  <si>
    <t>แนวทางการดำเนินงาน</t>
  </si>
  <si>
    <t>ตัวชี้วัดระดับยุทธศาสตร์ (S-KPI)</t>
  </si>
  <si>
    <t>ตัวชี้วัดระดับงาน (U-KPI)</t>
  </si>
  <si>
    <t>เป้าหมายแต่ละปี</t>
  </si>
  <si>
    <t>ผู้รับผิดชอบตัวชี้วัด</t>
  </si>
  <si>
    <t xml:space="preserve">SM 1-1 พัฒนาหลักสูตรที่ผู้มีส่วนได้ส่วนเสียมีส่วนร่วมในการออกแบบเพื่อตอบโจทย์โลกและสังคมแห่งอนาคต </t>
  </si>
  <si>
    <t xml:space="preserve">S1-1
</t>
  </si>
  <si>
    <t xml:space="preserve">KR-OP 1-1 </t>
  </si>
  <si>
    <t>EdPEX</t>
  </si>
  <si>
    <t>P 1-1(1) โครงการพัฒนาหลักสูตรใหม่เพื่อตอบโจทย์โลกและสังคมแห่งอนาคต</t>
  </si>
  <si>
    <t xml:space="preserve">1. ผู้ช่วยคณบดีฝ่ายบริหารการศึกษา
(คณะกรรมการการศึกษา) 
</t>
  </si>
  <si>
    <r>
      <t>สูตรในการคํานวณตัวชี้วัด</t>
    </r>
    <r>
      <rPr>
        <sz val="14"/>
        <rFont val="Chulabhorn Likit Text Light"/>
        <charset val="134"/>
      </rPr>
      <t xml:space="preserve"> การเก็บรวบรวมจํานวนหลักสูตรที่เพิ่มขึ้นเรื่อยๆ ทุกปี
</t>
    </r>
    <r>
      <rPr>
        <b/>
        <sz val="14"/>
        <rFont val="Chulabhorn Likit Text Light"/>
        <charset val="134"/>
      </rPr>
      <t xml:space="preserve">หลักสูตรใหม่ </t>
    </r>
    <r>
      <rPr>
        <sz val="14"/>
        <rFont val="Chulabhorn Likit Text Light"/>
        <charset val="134"/>
      </rPr>
      <t>หมายถึง หลักสูตรระดับอนุปริญญา/ปริญญาตรี  /ปริญญาโท และระดับบัณฑิตศึกษา ที่พัฒนาขึ้นใหม่ ซึ่งยังไม่เคยเปิดสอนมาก่อน และต้องบรรจุอยู่ในแผนพัฒนาหลักสูตรของคณะ</t>
    </r>
  </si>
  <si>
    <r>
      <t>S-KPI 1-1(1)</t>
    </r>
    <r>
      <rPr>
        <sz val="14"/>
        <rFont val="Chulabhorn Likit Text Light"/>
        <charset val="134"/>
      </rPr>
      <t xml:space="preserve"> จำนวนหลักสูตรในระดับอนุปริญญา ปริญญาบัณฑิต และบัณฑิตศึกษาที่ตอบสนองความต้องการของประเทศ (หน่วย: หลักสูตร/ปี) (สะสม)</t>
    </r>
  </si>
  <si>
    <t>1. งานแพทยศาสตรศึกษาและการศึกษาก่อนปริญญา
2. งานบัณฑิตศึกษา
3. งานฝึกอบรมและการศึกษาต่อเนื่องของแพทย์</t>
  </si>
  <si>
    <t>S1-1</t>
  </si>
  <si>
    <t xml:space="preserve">2. ผู้ช่วยคณบดีฝ่ายบัณฑิตศึกษาและการศึกษาหลังปริญญา
</t>
  </si>
  <si>
    <t>1. งานแพทยศาสตรศึกษาและการศึกษาก่อนปริญญา
2. งานบัณฑิตศึกษา</t>
  </si>
  <si>
    <t>(Clinical sci.)</t>
  </si>
  <si>
    <r>
      <t>U-KPI 1-1(1)A</t>
    </r>
    <r>
      <rPr>
        <sz val="14"/>
        <rFont val="Chulabhorn Likit Text Light"/>
        <charset val="134"/>
      </rPr>
      <t xml:space="preserve"> จำนวนหลักสูตร (ใหม่) ในระดับปริญญาบัณฑิตและบัณฑิตศึกษาที่ตอบสนองความต้องการของประเทศ (หน่วย: หลักสูตร/ปี)</t>
    </r>
  </si>
  <si>
    <t>3. ผู้ช่วยคณบดีฝ่ายบริการวิชาการและสังคม</t>
  </si>
  <si>
    <t>1. งานฝึกอบรมและการศึกษาต่อเนื่องของแพทย์</t>
  </si>
  <si>
    <t>(Training Resident)</t>
  </si>
  <si>
    <r>
      <t>U-KPI 1-1(1)B</t>
    </r>
    <r>
      <rPr>
        <sz val="14"/>
        <rFont val="Chulabhorn Likit Text Light"/>
        <charset val="134"/>
      </rPr>
      <t xml:space="preserve"> จำนวนหลักสูตรวิชาชีพ (ใหม่) ที่ตอบสนองความต้องการของประเทศ (หน่วย: หลักสูตร/ปี)</t>
    </r>
  </si>
  <si>
    <t xml:space="preserve"> - </t>
  </si>
  <si>
    <t>S1-4-1</t>
  </si>
  <si>
    <t>P 1-1(2) โครงการพัฒนารายวิชาในหลักสูตรระดับปริญญาบัณฑิตและบัณฑิตศึกษา ที่บูรณาการ Flexible Time, Fixed Competency, Anytime Anywhere (MOOC/COURSE ระยะสั้น/ Credit bank) ที่ตอบสนองความต้องการของประเทศ</t>
  </si>
  <si>
    <t>1. ผู้ช่วยคณบดีฝ่ายบริหารการศึกษา
(คณะกรรมการการศึกษา) 
2. ผู้ช่วยคณบดีฝ่ายบัณฑิตศึกษาและการศึกษาหลังปริญญา</t>
  </si>
  <si>
    <t xml:space="preserve">1. งานบัณฑิตศึกษา
2. งานแพทยศาสตรศึกษาและการศึกษาก่อนปริญญา
3. หลักสูตรทุกหลักสูตร
4. งานเทคโนโลยีการศึกษา
</t>
  </si>
  <si>
    <r>
      <t>สูตรในการคํานวณตัวชี้วัด</t>
    </r>
    <r>
      <rPr>
        <sz val="14"/>
        <rFont val="Chulabhorn Likit Text Light"/>
        <charset val="134"/>
      </rPr>
      <t xml:space="preserve"> การเก็บรวบรวมจํานวนวิชาในหลักสูตรใหม่ที่เพิ่มขึ้นเรื่อยๆ ทุกปี
(หลักสูตรระดับอนุปริญญา ปริญญาบัณฑิตและระดับบัณฑิตศึกษา ที่พัฒนาขึ้นใหม่ ซึ่งยังไม่เคยเปิดสอนมาก่อน และต้องบรรจุอยู่ในแผนพัฒนาหลักสูตรของคณะ)</t>
    </r>
  </si>
  <si>
    <r>
      <t>S-KPI 1-1(2)A</t>
    </r>
    <r>
      <rPr>
        <sz val="14"/>
        <rFont val="Chulabhorn Likit Text Light"/>
        <charset val="134"/>
      </rPr>
      <t xml:space="preserve"> จำนวนวิชาในหลักสูตรระดับปริญญาบัณฑิตและบัณฑิตศึกษา ที่บูรณาการ Flexible Time, Fixed Competency, Anytime Anywhere (MOOC/COURSE ระยะสั้น/ Credit bank) ที่ตอบสนองความต้องการของประเทศ (หน่วย: วิชา/ปี) (สะสม)
</t>
    </r>
  </si>
  <si>
    <t>S1-4-2</t>
  </si>
  <si>
    <t xml:space="preserve">1. งานบริการวิชาการและสังคมฯ
2. งานเทคโนโลยีการศึกษา
</t>
  </si>
  <si>
    <r>
      <t>สูตรในการคํานวณตัวชี้วัด</t>
    </r>
    <r>
      <rPr>
        <sz val="14"/>
        <rFont val="Chulabhorn Likit Text Light"/>
        <charset val="134"/>
      </rPr>
      <t xml:space="preserve"> การเก็บรวบรวมจํานวนหลักสูตรระยะสั้น/ใหม่ที่เพิ่มขึ้นเรื่อยๆ ทุกปี</t>
    </r>
  </si>
  <si>
    <r>
      <t>S-KPI 1-1(2)B</t>
    </r>
    <r>
      <rPr>
        <b/>
        <sz val="14"/>
        <rFont val="Chulabhorn Likit Text Light"/>
        <charset val="134"/>
      </rPr>
      <t xml:space="preserve"> </t>
    </r>
    <r>
      <rPr>
        <sz val="14"/>
        <rFont val="Chulabhorn Likit Text Light"/>
        <charset val="134"/>
      </rPr>
      <t>จำนวนหลักสูตรระยะสั้น (Non-degree) ที่บูรณาการ Flexible Time, Fixed Competency, Anytime Anywhere (MOOC/COURSE ระยะสั้น/ Credit bank) ที่ตอบสนองความต้องการของประเทศ (หน่วย: หลักสูตร/ปี) (สะสม)</t>
    </r>
  </si>
  <si>
    <t>S1-5</t>
  </si>
  <si>
    <t>KR-OP 1-3</t>
  </si>
  <si>
    <t>P 1-1(3) โครงการพัฒนาและส่งเสริมให้นักศึกษามีคุณลักษณะบัณฑิตที่พึงประสงค์ ของคณะฯ
บัณฑิต หมายถึง ผู้สําเร็จการศึกษาระดับปริญญา คือ ระดับอนุปริญญา ปริญญาตรี ปริญญาโท และปริญญาเอก
K หมายถึง ความรู้ (Knowledge) สิ่งที่สั่งสมมาจากการศึกษาเล่าเรียน การค้นคว้าหรือประสบการณ์ที่เกิดจากหลักสูตร ซึ่งเป็นสิ่งที่จําเป็นและเพียงพอต่อการนําไปปฏิบัติ หรือต่อยอดความรู้ในการประกอบอาชีพ ดํารงชีวิต อยู่ร่วมกันในสังคมและพัฒนาอย่างยั่งยืน สําหรับการดํารงชีวิตในยุคดิจิทัล 
S หมายถึง ทักษะ (Skills) ความสามารถที่เกิดจากการเรียนรู้ ฝึกฝนปฏิบัติ ให้เกิความแคล่วคล่องว่องไว และชํานาญ เพื่อพัฒนางาน พัฒนาวิชาชีพหรือวิชาการ พัฒนาตนและพัฒนาสังคม สำหรับการดํารงชีวิตในยุคดิจิทัล 
E หมายถึง จริยธรรม (Ethics) พฤติกรรมหรือการกระทําระดับบุคคลที่สะท้อนถึงความเป็นผู้มีคุณธรรม ศีลธรรม และจรรยาบรรณ เพื่อประโยชน์ส่วนรวมและส่วนตน ทั้งต่อหน้าและลับหลังผู้อื่น 
C หมายถึง ลักษณะบุคคล (Character) บุคลิกภาพ ลักษณะนิสัย และค่านิยม ที่สะท้อนคุณลักษณะเฉพาะศาสตร์ วิชาชีพ และสถาบัน โดยพัฒนาผ่านการเรียนรู้และการฝึกประสบการณ์จากหลักสูตร ให้ความเหมาะสมกับแต่ละระดับมาตรฐานคุณวุฒิระดับอุดมศึกษา</t>
  </si>
  <si>
    <t>1. รองคณบดีคณะแพทยศาสตร์ศรีสวางควัฒน (คณะกรรมการกิจการนักศึกษา)
2. ผู้ช่วยคณบดีฝ่ายบริหารการศึกษา
(คณะกรรมการการศึกษา) 
3. ผู้ช่วยคณบดีฝ่ายบัณฑิตศึกษาและการศึกษาหลังปริญญา</t>
  </si>
  <si>
    <t>1. งานแพทยศาสตรศึกษาและการศึกษาก่อนปริญญา
2. งานบัณฑิตศึกษา
3. งานหลักสูตร (ทุกหลักสูตร)
4. งานบริการการศึกษา วัด ประเมินผล และวิจัยการศึกษา</t>
  </si>
  <si>
    <r>
      <t xml:space="preserve">สููตรในการคํานวณตัวชี้วัด </t>
    </r>
    <r>
      <rPr>
        <sz val="14"/>
        <rFont val="Chulabhorn Likit Text Light"/>
        <charset val="134"/>
      </rPr>
      <t xml:space="preserve">
1. อัตราการผ่านการประเมินผลลัพธ์การเรียนรู้ที่คาดหวังของนักศึกษาแต่ละหลักสูตร / จํานวนนักศึกษาทั้งหมดในแต่ละรุ่น
2. จํานวนนักศึกษาที่เข้าร่วมกิจของของแต่ละหลักสูตร และความพึงพอใจของนักศึกษาต่อการเข้าร่วมกิจกรรมนักศึกษา</t>
    </r>
  </si>
  <si>
    <r>
      <t>S-KPI 1-1(3)</t>
    </r>
    <r>
      <rPr>
        <sz val="14"/>
        <rFont val="Chulabhorn Likit Text Light"/>
        <charset val="134"/>
      </rPr>
      <t xml:space="preserve"> อัตราการผ่านการประเมินผลลัพธ์การเรียนรู้ที่คาดหวัง ของนักศึกษาแต่ละหลักสูตร/จำนวนนักศึกษาทั้งหมดในแต่ละปี (หน่วย: ร้อยละ/ปี) </t>
    </r>
  </si>
  <si>
    <r>
      <t xml:space="preserve">สููตรในการคํานวณตัวชี้วัด </t>
    </r>
    <r>
      <rPr>
        <sz val="14"/>
        <rFont val="Chulabhorn Likit Text Light"/>
        <charset val="134"/>
      </rPr>
      <t xml:space="preserve">
นับหลักสูตรปริญญาตรีที่มีเกณฑ์การประเมินผลลัพธ์การเรียนรู้ ตาม K S E C / CRAMDPH เห็นเป็นรูปธรรม หารหลักสูตรปริญญาตรี คูณ 100</t>
    </r>
  </si>
  <si>
    <r>
      <t>U-KPI 1-1(3)A</t>
    </r>
    <r>
      <rPr>
        <sz val="14"/>
        <rFont val="Chulabhorn Likit Text Light"/>
        <charset val="134"/>
      </rPr>
      <t xml:space="preserve"> ร้อยละของหลักสูตรที่มีเกณฑ์การประเมินผลลัพธ์การเรียนรู้ตาม K S E C  / CRAMDPH (หน่วย: ร้อยละ/ปี) </t>
    </r>
  </si>
  <si>
    <t xml:space="preserve">KR-OC 1-2 </t>
  </si>
  <si>
    <t>5. งานกิจการนักศึกษาและศิษย์เก่าสัมพันธ์</t>
  </si>
  <si>
    <t>การติดตามผ่าน Dashboard ศิษย์เก่า ทุกหลักสูตร</t>
  </si>
  <si>
    <r>
      <t>U-KPI 1-1(3)B</t>
    </r>
    <r>
      <rPr>
        <sz val="14"/>
        <rFont val="Chulabhorn Likit Text Light"/>
        <charset val="134"/>
      </rPr>
      <t xml:space="preserve"> จำนวนบัณฑิตได้รับการยอมรับในระดับชาติและระดับนานาชาติ เช่น ได้รับรางวัล ได้รับการตอบรับในการเรียนต่อ  (หน่วย: คน/ปี)</t>
    </r>
  </si>
  <si>
    <t>1. งานกิจการนักศึกษาและศิษย์เก่าสัมพันธ์
2. งานบริการการศึกษา วัด ประเมินผล และวิจัยการศึกษา
3. งานแพทยศาสตรศึกษาและการศึกษาก่อนปริญญา
4. งานบัณฑิตศึกษา</t>
  </si>
  <si>
    <t>การติดตามผ่าน Dashboard นักศึกษาปัจจุบัน ทุกหลักสูตร</t>
  </si>
  <si>
    <r>
      <t>U-KPI 1-1(3)C</t>
    </r>
    <r>
      <rPr>
        <sz val="14"/>
        <rFont val="Chulabhorn Likit Text Light"/>
        <charset val="134"/>
      </rPr>
      <t xml:space="preserve"> จำนวนนักศึกษาได้รับการยอมรับในระดับชาติและระดับนานาชาติ เช่น ได้รับรางวัลในด้านต่างๆ (หน่วย: คน/ปี)</t>
    </r>
  </si>
  <si>
    <t>1. งานกิจการนักศึกษาและศิษย์เก่าสัมพันธ์
2. งานบริหารวิจัย นวัตกรรม และห้องปฏิบัติการวิจัย</t>
  </si>
  <si>
    <t>ปรับให้สอดคล้องกับ CKPI
ร้อยละของนักศึกษาที่ผ่านเกณฑ์การส่งเสริมคุณลักษณะบัณฑิตที่พึงประสงค์ ในระดับปริญญาตรี</t>
  </si>
  <si>
    <r>
      <t>U-KPI 1-1(3)D</t>
    </r>
    <r>
      <rPr>
        <sz val="14"/>
        <rFont val="Chulabhorn Likit Text Light"/>
        <charset val="134"/>
      </rPr>
      <t xml:space="preserve"> ร้อยละของโครงการที่มีการส่งเสริมคุณลักษณะบัณฑิตที่พึงประสงค์ ที่ติดตามผ่านระบบ Dashboard (หน่วย: ร้อยละ/ปี) </t>
    </r>
  </si>
  <si>
    <t>&gt;90</t>
  </si>
  <si>
    <t>1. งานกิจการนักศึกษาและศิษย์เก่าสัมพันธ์
2. งานแพทยศาสตรศึกษาและการศึกษาก่อนปริญญา
3. งานบัณฑิตศึกษา
4. งานบริการการศึกษา วัด ประเมินผล และวิจัยการศึกษา</t>
  </si>
  <si>
    <t>*เกณฑ์ประเมิน*
- ร้อยละ 100 = 5 คะแนน
- มากกว่าหรือเท่ากับร้อยละ 95 = 4 คะแนน
- มากกว่าหรือเท่ากับร้อยละ 90 = 3 คะแนน
- มากกว่าหรือเท่ากับร้อยละ  85 = 2 คะแนน
- มากกว่าหรือเท่ากับร้อยละ  80 = 1 คะแนน</t>
  </si>
  <si>
    <r>
      <t>U-KPI 1-1(3)E</t>
    </r>
    <r>
      <rPr>
        <sz val="14"/>
        <rFont val="Chulabhorn Likit Text Light"/>
        <charset val="134"/>
      </rPr>
      <t xml:space="preserve"> ร้อยละของนักศึกษาที่ได้รับการส่งเสริมคุณลักษณะบัณฑิตที่พึงประสงค์ ตรงตามเป้าหมายของคณะฯ โดยติดตามผ่านระบบ Dashboard (หน่วย: ร้อยละ/ปี)</t>
    </r>
  </si>
  <si>
    <t>ค่าเฉลี่ยความพึงพอใจโดยรวมทุกโครงการ</t>
  </si>
  <si>
    <r>
      <t>U-KPI 1-1(3)F</t>
    </r>
    <r>
      <rPr>
        <sz val="14"/>
        <rFont val="Chulabhorn Likit Text Light"/>
        <charset val="134"/>
      </rPr>
      <t xml:space="preserve"> ร้อยละความพึงพอใจของนักศึกษาที่ได้เข้าร่วมโครงการส่งเสริมคุณลักษณะบัณฑิตที่พึงประสงค์  (หน่วย: ร้อยละ/ปี)</t>
    </r>
  </si>
  <si>
    <t>1. งานกิจการนักศึกษาและศิษย์เก่าสัมพันธ์</t>
  </si>
  <si>
    <t>KR-OC 1-2</t>
  </si>
  <si>
    <t>P 1-1(4) โครงการส่งเสริม Engagement ผ่านเครือข่ายความร่วมมือและภาคีศิษย์เก่า PSCM (มีข้อมูลบัณฑิตในแต่ละหลักสูตร)</t>
  </si>
  <si>
    <t>1. รองคณบดีคณะแพทยศาสตร์ศรีสวางควัฒน (คณะกรรมการกิจการนักศึกษา)</t>
  </si>
  <si>
    <t xml:space="preserve">1. งานกิจการนักศึกษาและศิษย์เก่าสัมพันธ์
</t>
  </si>
  <si>
    <t>*เกณฑ์ประเมิน*
- มากกว่าหรือเท่ากับร้อยละ 70 = 5 คะแนน
- มากกว่าหรือเท่ากับร้อยละ 65 = 4 คะแนน
- มากกว่าหรือเท่ากับร้อยละ 60 = 3 คะแนน
- มากกว่าหรือเท่ากับร้อยละ  55 = 2 คะแนน
- มากกว่าหรือเท่ากับร้อยละ  50 = 1 คะแนน</t>
  </si>
  <si>
    <r>
      <t>S-KPI 1-1(4)</t>
    </r>
    <r>
      <rPr>
        <sz val="14"/>
        <rFont val="Chulabhorn Likit Text Light"/>
        <charset val="134"/>
      </rPr>
      <t xml:space="preserve"> ร้อยละของจำนวนศิษย์เก่าผู้เข้าร่วมโครงการภาคีศิษย์เก่าสัมพันธ์ (หน่วย: ร้อยละ/ปี)
</t>
    </r>
  </si>
  <si>
    <t>≥60</t>
  </si>
  <si>
    <t>≥65</t>
  </si>
  <si>
    <t>≥70</t>
  </si>
  <si>
    <t>≥75</t>
  </si>
  <si>
    <t>≥80</t>
  </si>
  <si>
    <r>
      <t>U-KPI 1-1(4</t>
    </r>
    <r>
      <rPr>
        <sz val="14"/>
        <rFont val="Chulabhorn Likit Text Light"/>
        <charset val="134"/>
      </rPr>
      <t>) จำนวนโครงการที่ส่งเสริม Engagement ผ่านเครือข่ายความร่วมมือและภาคีศิษย์เก่าสัมพันธ์ (หน่วย: โครงการหรือกิจกรรม/ปี)</t>
    </r>
  </si>
  <si>
    <t>P 1-1(5) โครงการพัฒนาระบบ PSCM ALUMNI Network (โครงการ)</t>
  </si>
  <si>
    <t xml:space="preserve">1. รองคณบดีคณะแพทยศาสตร์ศรีสวางควัฒน (คณะกรรมการกิจการนักศึกษา)
2. ผู้ช่วยคณบดีฝ่ายพัฒนานวัตกรรมและเทคโนโลยีการศึกษา
</t>
  </si>
  <si>
    <t xml:space="preserve">1. งานกิจการนักศึกษาและศิษย์เก่าสัมพันธ์
2. งานเทคโนโลยีสารสนเทศ โสตทัศนูปกรณ์ ห้องสมุดและอาคารสถานที่
</t>
  </si>
  <si>
    <t>*เกณฑ์ประเมิน*
ระดับ 1 = จัดทำระบบฐานข้อมูลศิษย์เก่าของคณะฯ
ระดับ 2 = ดำเนินจัดสรรงบประมาณพร้อมดำเนินโครงการส่งเสริมภาคีเครือข่ายศิษย์เก่าสัมพันธ์
ระดับ 3 = พัฒนาโครงการที่ส่งเสริมภาคีศิษย์เก่าสัมพันธ์
ระดับ 4 = สนับสนุนการจัดตั้งสมาคมศิษย์เก่าคณะฯ พร้อมพัฒนากิจกรรมส่งเสริมต่อเนื่อง
ระดับ 5 = ศิษย์เก่าคณะฯ สามารถเสนอหรือดำเนินโครงการส่งเสริมภาคีเครือข่ายผ่านสมาคมศิษย์เก่าคณะฯ</t>
  </si>
  <si>
    <r>
      <t>S-KPI 1-1(5)</t>
    </r>
    <r>
      <rPr>
        <sz val="14"/>
        <rFont val="Chulabhorn Likit Text Light"/>
        <charset val="134"/>
      </rPr>
      <t xml:space="preserve"> ระดับความสำเร็จของพัฒนาระบบ PSCM ALUMNI Network (หน่วย: โครงการหรือกิจกรรม/ปี)</t>
    </r>
  </si>
  <si>
    <t>SM 1-2 กำกับและขับเคลื่อนให้ทุกหลักสูตรสามารถผ่านการรับรองคุณภาพตามเกณฑ์มาตรฐานระดับสากล</t>
  </si>
  <si>
    <t xml:space="preserve">KR-OC 1-1 </t>
  </si>
  <si>
    <t>P 1-2(1) โครงการพัฒนาระบบติดตามบัณฑิตและขับเคลื่อนคุณภาพบัณฑิต</t>
  </si>
  <si>
    <t>1. ผู้ช่วยคณบดีฝ่ายบริหารการศึกษา</t>
  </si>
  <si>
    <t xml:space="preserve">1. งานบริการการศึกษา ทะเบียนและประมวลผล
2. งานแพทยศาสตรศึกษาและการศึกษาก่อนปริญญา
3. งานบัณฑิตศึกษา
     </t>
  </si>
  <si>
    <t xml:space="preserve"> - จัดทำโครงการส่งศักยภาพนักศึกษาสู่ความเป็นเลิศ ประสานงานร่วมกับหลักสูตร</t>
  </si>
  <si>
    <r>
      <t>S-KPI 1-2(1)</t>
    </r>
    <r>
      <rPr>
        <sz val="14"/>
        <rFont val="Chulabhorn Likit Text Light"/>
        <charset val="134"/>
      </rPr>
      <t xml:space="preserve"> ร้อยละของนักศึกษาที่สอบผ่านตามเกณฑ์วิชาชีพภายในระยะเวลาที่กำหนด (หน่วย: ร้อยละ/ปี) (MD ก่อนสำเร็จการศึกษา, MP ภายในระยะเวลา 1 ปี หลังสำเร็จการศึกษา)</t>
    </r>
  </si>
  <si>
    <t>2. ผู้ช่วยคณบดีฝ่ายบัณฑิตศึกษาและการศึกษาต่อเนื่อง คณะแพทยศาสตร์ศรีสวางควัฒน</t>
  </si>
  <si>
    <t>1. งานบัณฑิตศึกษา</t>
  </si>
  <si>
    <t xml:space="preserve"> - จัดทำฐานข้อมูลผลสอบตามเกณฑ์วิชาชีพ/ข้อมูลบัณฑิตที่จบการศึกษา/ข้อมูลจากผู้ใช้บัณฑิต</t>
  </si>
  <si>
    <r>
      <t>U-KPI 1-2(1)A</t>
    </r>
    <r>
      <rPr>
        <sz val="14"/>
        <rFont val="Chulabhorn Likit Text Light"/>
        <charset val="134"/>
      </rPr>
      <t xml:space="preserve"> ร้อยละของนักศึกษาฟิสิกส์การแพทย์ที่สอบผ่านตามเกณฑ์วิชาชีพภายในระยะเวลา 1 ปี หลังสำเร็จการศึกษา (หน่วย: ร้อยละ/ปี)</t>
    </r>
  </si>
  <si>
    <t>3. ประธานหลักสูตรทุกหลักสูตร</t>
  </si>
  <si>
    <t>1. งานแพทยศาสตรศึกษาและการศึกษาก่อนปริญญา</t>
  </si>
  <si>
    <t xml:space="preserve"> - ประสานงานส่งข้อมูลนักศึกษาภายในกำหนดเวลา</t>
  </si>
  <si>
    <r>
      <t>U-KPI 1-2(1)B</t>
    </r>
    <r>
      <rPr>
        <sz val="14"/>
        <rFont val="Chulabhorn Likit Text Light"/>
        <charset val="134"/>
      </rPr>
      <t xml:space="preserve"> ร้อยละของนักศึกษาแพทย์ที่สอบผ่านตามเกณฑ์วิชาชีพ  Part 1 และ Part 2 ก่อนสำเร็จการศึกษา (หน่วย: ร้อยละ/ปี)</t>
    </r>
  </si>
  <si>
    <r>
      <t>U-KPI 1-2(1)B</t>
    </r>
    <r>
      <rPr>
        <sz val="14"/>
        <rFont val="Chulabhorn Likit Text Light"/>
        <charset val="134"/>
      </rPr>
      <t xml:space="preserve"> ร้อยละของนักศึกษาแพทย์ที่สอบผ่านตามเกณฑ์วิชาชีพ  Part 1 (ชั้นปีที่ 5) ก่อนสำเร็จการศึกษา (หน่วย: ร้อยละ/ปี)</t>
    </r>
  </si>
  <si>
    <r>
      <t>U-KPI 1-2(1)B1</t>
    </r>
    <r>
      <rPr>
        <sz val="14"/>
        <rFont val="Chulabhorn Likit Text Light"/>
        <charset val="134"/>
      </rPr>
      <t xml:space="preserve"> ร้อยละของนักศึกษาแพทย์ที่สอบผ่านตามเกณฑ์วิชาชีพ  Part 2 (ชั้นปีที่ 7) ก่อนสำเร็จการศึกษา (หน่วย: ร้อยละ/ปี)</t>
    </r>
  </si>
  <si>
    <t>4. ผู้ช่วยคณบดีฝ่ายประกันคุณภาพ</t>
  </si>
  <si>
    <t>1. งานแพทยศาสตรศึกษาและการศึกษาก่อนปริญญา
2. งานบัณฑิตศึกษา
3. งานบริการการศึกษา วัด ประเมินผล และวิจัยการศึกษา
4. งานพัฒนาคุณภาพ และบริหารความเสี่ยง</t>
  </si>
  <si>
    <t xml:space="preserve"> - จัดทำแบบสำรวจ VOC ของบัณฑิตที่จบการศึกษา/ผู้ใช้บัณฑิต/ผู้มีส่วนได้ส่วนเสีย (ภายในระยะเวลา 6 เดือน หลังจากสำเร็จการศึกษา)</t>
  </si>
  <si>
    <r>
      <t>U-KPI 1-2(1)C</t>
    </r>
    <r>
      <rPr>
        <sz val="14"/>
        <rFont val="Chulabhorn Likit Text Light"/>
        <charset val="134"/>
      </rPr>
      <t xml:space="preserve"> ร้อยละของบัณฑิตที่ได้งานทำหรือศึกษาต่อในระดับสูง (หน่วย: ร้อยละ/ปี)</t>
    </r>
  </si>
  <si>
    <t>S1-3</t>
  </si>
  <si>
    <t>P 1-2(2) โครงการพัฒนาระบบ VOC</t>
  </si>
  <si>
    <t>1. ผู้ช่วยคณบดีฝ่ายประกันคุณภาพ</t>
  </si>
  <si>
    <t>1. คณะกรรมการ VOC
2. งานพัฒนาคุณภาพ และบริหารความเสี่ยง
3. งานแพทยศาสตรศึกษาและการศึกษาก่อนปริญญา
4. งานบัณฑิตศึกษา
5. งานบริการการศึกษา วัด ประเมินผล และวิจัยการศึกษา</t>
  </si>
  <si>
    <r>
      <t>สูตรในการคํานวณตัวชี้วัด</t>
    </r>
    <r>
      <rPr>
        <sz val="14"/>
        <rFont val="Chulabhorn Likit Text Light"/>
        <charset val="134"/>
      </rPr>
      <t>ความพึงพอใจของผู้ใช้บัณฑิตที่มีต่อคุณภาพบัณฑิต คํานวณตามคะแนน Average ทุกด้าน ต่อคะแนนเต็ม 5 คูณ 100</t>
    </r>
  </si>
  <si>
    <r>
      <t>S-KPI 1-2(2)A</t>
    </r>
    <r>
      <rPr>
        <sz val="14"/>
        <rFont val="Chulabhorn Likit Text Light"/>
        <charset val="134"/>
      </rPr>
      <t xml:space="preserve"> ร้อยละความพึงพอใจของนายจ้างต่อคุณภาพบัณฑิต ระดับมาก-มากที่สุด (คะแนน 4 เต็ม 5)</t>
    </r>
  </si>
  <si>
    <t>S1-2</t>
  </si>
  <si>
    <t>KR-OP 1-4</t>
  </si>
  <si>
    <r>
      <t>สูตรในการคํานวณตัวชี้วัด</t>
    </r>
    <r>
      <rPr>
        <sz val="14"/>
        <rFont val="Chulabhorn Likit Text Light"/>
        <charset val="134"/>
      </rPr>
      <t>ความพึงพอใจของบัณฑิตที่มีต่อการบริหารจัดการด้านการเรียนการสอน คะแนนคํานวณต่อคะแนนเต็ม 5 คูณ 100</t>
    </r>
  </si>
  <si>
    <r>
      <t>S-KPI 1-2(2)B</t>
    </r>
    <r>
      <rPr>
        <sz val="14"/>
        <rFont val="Chulabhorn Likit Text Light"/>
        <charset val="134"/>
      </rPr>
      <t xml:space="preserve"> ร้อยละความพึงพอใจของบัณฑิตที่มีต่อหลักสูตรของ คณะ ระดับมาก-มากที่สุด (คะแนน 4 เต็ม 5)</t>
    </r>
  </si>
  <si>
    <t>AUN-QA</t>
  </si>
  <si>
    <t xml:space="preserve">P 1-2(3) โครงการประเมินคุณภาพหลักสูตรระดับเกณฑ์มาตรฐานสากล
</t>
  </si>
  <si>
    <t xml:space="preserve">1. งานพัฒนาคุณภาพ และบริหารความเสี่ยง
2. งานแพทยศาสตรศึกษาและการศึกษาก่อนปริญญา
3. งานบัณฑิตศึกษา
4. หลักสูตร (แยกทุกหลักสูตร)
</t>
  </si>
  <si>
    <t xml:space="preserve"> - ทุกหลักสูตรยกเว้นหลักสูตรแพทยศาสตรบัณฑิต จะต้องได้รับการประเมินไม่น้อยกว่า 4 คะแนน ตามเกณฑ์ AUN-QA</t>
  </si>
  <si>
    <r>
      <t xml:space="preserve">S-KPI 1-2(3) </t>
    </r>
    <r>
      <rPr>
        <sz val="14"/>
        <rFont val="Chulabhorn Likit Text Light"/>
        <charset val="134"/>
      </rPr>
      <t>ร้อยละของหลักสูตรผ่านการประเมินคุณภาพตามเกณฑ์มาตรฐานสากลหลังเปิดหลักสูตร 5 ปี (หรือ 1 ปีหลังมีบัณฑิตรุ่นแรก) (หน่วย: ร้อยละ/ปี)</t>
    </r>
  </si>
  <si>
    <t xml:space="preserve">
</t>
  </si>
  <si>
    <t xml:space="preserve"> - จัดทำแผนงาน/โครงการ และฐานข้อมูลผลการตรวจประเมินคุณภาพการศึกษา</t>
  </si>
  <si>
    <t>HDS
MP</t>
  </si>
  <si>
    <t xml:space="preserve">DM
DH
MPME
</t>
  </si>
  <si>
    <t>SP 1(2): Ecosystem for Student Success</t>
  </si>
  <si>
    <t>SM 1-3 พัฒนาระบบนิเวศการศึกษาเพื่อส่งเสริมประสบการณ์การเรียนรู้และความสำเร็จของนักศึกษา</t>
  </si>
  <si>
    <t>KR-OC 1-1</t>
  </si>
  <si>
    <t xml:space="preserve">P 1-3(1) โครงการพัฒนาห้องปฏิบัติการสร้างต้นแบบนวัตกรรม Innovation Zone </t>
  </si>
  <si>
    <t>1. ผู้ช่วยคณบดีฝ่ายวิจัยและวิเทศสัมพันธ์</t>
  </si>
  <si>
    <t>1. งานบริหารวิจัย นวัตกรรมและทรัพย์สินทางปัญญา
2. งานเทคโนโลยีสารสนเทศ โสตทัศนูปกรณ์ ห้องสมุดและอาคารสถานที่</t>
  </si>
  <si>
    <t xml:space="preserve"> - จัดทำโครงการและติดตามความก้าวหน้าโครงการพัฒนาห้องปฏิบัติการสร้างต้นแบบนวัตกรรม Innovation Zone ดำเนินการจัดซื้อจัดจ้างครุภัณฑ์
 - จัดทำฐานข้อมูลการใช้บริการห้องปฏิบัติการสร้างต้นแบบนวัตกรรม Innovation Zone
 - จัดทำฐานข้อมูลผลงานผลิตผลจาก Innovation Zone</t>
  </si>
  <si>
    <r>
      <t xml:space="preserve">U-KPI 1-3(1) </t>
    </r>
    <r>
      <rPr>
        <sz val="14"/>
        <rFont val="Chulabhorn Likit Text Light"/>
        <charset val="134"/>
      </rPr>
      <t>ความพร้อมของการใช้งานห้องปฏิบัติการสร้างต้นแบบนวัตกรรม Innovation Zone (หน่วย: ร้อยละ/ปี)</t>
    </r>
  </si>
  <si>
    <t>-</t>
  </si>
  <si>
    <t>1. งานบริหารวิจัย นวัตกรรม และห้องปฏิบัติการวิจัย
2. งานเทคโนโลยีสารสนเทศ โสตทัศนูปกรณ์ ห้องสมุดและอาคารสถานที่</t>
  </si>
  <si>
    <t>SM 1-4 พัฒนาระบบเพื่อส่งเสริมและติดตามความสำเร็จของนักศึกษาแบบเฉพาะบุคคล ผ่านแพลตฟอร์ม Medical school digital DIY</t>
  </si>
  <si>
    <t>S1-6</t>
  </si>
  <si>
    <t xml:space="preserve">KR-OP 1-2 </t>
  </si>
  <si>
    <t xml:space="preserve">P 1-4(1) โครงการพัฒนาแพลตฟอร์ม Medical school digital DIY </t>
  </si>
  <si>
    <t>1. ผู้ช่วยคณบดีฝ่ายพัฒนานวัตกรรมและเทคโนโลยีการศึกษา (คณะกรรมการเทคโนโลยีการศึกษา)</t>
  </si>
  <si>
    <t>1. งานเทคโนโลยีสารสนเทศ โสตทัศนูปกรณ์ ห้องสมุดและอาคารสถานที่</t>
  </si>
  <si>
    <t xml:space="preserve">รจภ.ใช้ตัวชี้วัดนี้ในมุมของจํานวนนวัตกรรมสนับสนุนการศึกษาที่สามารถนําไปใช้ในการจัดการศึกษา(สะสม)
Innovation Education Platform หมายถึง การพัฒนานวัตกรรมด้านการศึกษาเพื่อสนับสนุนการจัดการศึกษาที่มีประสิทธิภาพ เช่น การใช้เทคโนโลยี ภาพเสมือนจริงในการจัดการเรียนการสอนแทนการใช้ผูป่วยจําลองในบางสถานการณ์ </t>
  </si>
  <si>
    <r>
      <t>S-KPI 1-4(1)A</t>
    </r>
    <r>
      <rPr>
        <sz val="14"/>
        <rFont val="Chulabhorn Likit Text Light"/>
        <charset val="134"/>
      </rPr>
      <t xml:space="preserve"> ระดับความสำเร็จของระบบ online self-service (หน่วย: ระดับคะแนน/ปี)</t>
    </r>
  </si>
  <si>
    <t>MY PSCM</t>
  </si>
  <si>
    <t>ระดับ 1 = เก็บรวบรวมความต้องการของหลักสูตรของ logbook, vertical modules และ CRAMDPH 
ระดับ 2 = นำร่องการใช้ระบบ GPS ยืนยันการเข้าร่วมกิจกรรมต่างๆ
ระดับ 3= เพิ่มการอัพโหลดเอกสารสำคัญและมีการรักษาความปลอดภัย
ระดับ 4 = เพิ่มTelehealth ปรึกษากับอาจารย์ได้โดยตรง
ระดับ 5 = เพิ่มระบบ AI chat bot ตอบปัญหาการใช้งานด้านเทคโนโลยีการศึกษา</t>
  </si>
  <si>
    <r>
      <t>U-KPI 1-4(1)A</t>
    </r>
    <r>
      <rPr>
        <sz val="14"/>
        <rFont val="Chulabhorn Likit Text Light"/>
        <charset val="134"/>
      </rPr>
      <t xml:space="preserve"> MY PSCM (หน่วย: ระดับคะแนน/ปี)
</t>
    </r>
  </si>
  <si>
    <t xml:space="preserve">Smart E-portfolio </t>
  </si>
  <si>
    <t>ระดับ 1 = ก็บรวบรวมความต้องการของหลักสูตรของ logbook, vertical modules และ CRAMDPH 
ระดับ 2 = ปรับปรุงระบบsmart E-portfolio มีการเก็บassessment
ระดับ 3= Integrated CRAMDPH ในทุกมิติ ใช้งานได้ครบทุกฟังชั่นพร้อมสำหรับปริ้นให้ใช้งาน
ระดับ 4 = เชื่อมต่อกับ PSCM metaverse
ระดับ 5 = พัฒนา App PSCM smart E-portfolio ดูผลแบบ real time</t>
  </si>
  <si>
    <r>
      <t>U-KPI 1-4(1)B</t>
    </r>
    <r>
      <rPr>
        <sz val="14"/>
        <rFont val="Chulabhorn Likit Text Light"/>
        <charset val="134"/>
      </rPr>
      <t xml:space="preserve"> Smart E-portfolio (หน่วย: ระดับคะแนน/ปี)</t>
    </r>
  </si>
  <si>
    <t>Metaverse of PSCM</t>
  </si>
  <si>
    <t>ระดับ 1 = Avatar and PSCM building
ระดับ 2 = OR in metaverse
ระดับ 3 = Online learning and assessment
ระดับ 4 = Exercise and sport complex
ระดับ 5 = Innovation workshop for student</t>
  </si>
  <si>
    <r>
      <t>U-KPI 1-4(1)C</t>
    </r>
    <r>
      <rPr>
        <sz val="14"/>
        <rFont val="Chulabhorn Likit Text Light"/>
        <charset val="134"/>
      </rPr>
      <t xml:space="preserve"> Metaverse of PSCM (หน่วย: ระดับคะแนน/ปี)</t>
    </r>
  </si>
  <si>
    <r>
      <t>สูตรในการคํานวณตัวชี้วัด</t>
    </r>
    <r>
      <rPr>
        <sz val="14"/>
        <rFont val="Chulabhorn Likit Text Light"/>
        <charset val="134"/>
      </rPr>
      <t xml:space="preserve"> 
ร้อยละผลการประเมินประโยชน์ต่อการเรียนรู้ในระดับมาก-มากที่สุด</t>
    </r>
  </si>
  <si>
    <r>
      <t>S-KPI 1-4(1)B</t>
    </r>
    <r>
      <rPr>
        <sz val="14"/>
        <rFont val="Chulabhorn Likit Text Light"/>
        <charset val="134"/>
      </rPr>
      <t xml:space="preserve"> ร้อยละผลการประเมินประโยชน์ต่อการเรียนรู้ในแพลตฟอร์ม Medical school digital DIY ระดับมาก-มากที่สุด (หน่วย: ร้อยละ/ปี)</t>
    </r>
  </si>
  <si>
    <t>≥85</t>
  </si>
  <si>
    <r>
      <t>U-KPI 1-4(1)D</t>
    </r>
    <r>
      <rPr>
        <sz val="14"/>
        <rFont val="Chulabhorn Likit Text Light"/>
        <charset val="134"/>
      </rPr>
      <t xml:space="preserve"> ร้อยละของนักศึกษาที่เข้าใช้งานระบบแพลตฟอร์ม Medical school digital DIY  (หน่วย: ร้อยละ/ปี)</t>
    </r>
  </si>
  <si>
    <t xml:space="preserve">P 1-4(2) โครงการส่งเสริมการเรียนรู้ให้กับนักศึกษาเกี่ยวกับ Digital Literacy </t>
  </si>
  <si>
    <t>1. ผู้ช่วยคณบดีฝ่ายบริหารสารสนเทศและเทคโนโลยีดิจิทัล</t>
  </si>
  <si>
    <t xml:space="preserve"> - จัดทำแบบประเมิน และฐานข้อมูลผลการประเมินการใช้งาน Platform</t>
  </si>
  <si>
    <r>
      <t>U-KPI 1-4(2)</t>
    </r>
    <r>
      <rPr>
        <sz val="14"/>
        <rFont val="Chulabhorn Likit Text Light"/>
        <charset val="134"/>
      </rPr>
      <t xml:space="preserve"> ร้อยละของนักศึกษาที่ผ่านการประเมิน Digital Literacy (หน่วย: ร้อยละ/ปี)</t>
    </r>
  </si>
  <si>
    <t>ยุทธศาสตร์ที่ 2</t>
  </si>
  <si>
    <t>Pushing the boundaries of medical discoveries and innovation
ก้าวข้ามขีดจำกัดของการค้นพบและนวัตกรรมทางการแพทย์</t>
  </si>
  <si>
    <t>SP 2(1): Focus on high-impact research and innovation</t>
  </si>
  <si>
    <t>ผู้รับผิดชอบ</t>
  </si>
  <si>
    <t>SM 2-1 ส่งเสริม ขับเคลื่อน จัดตั้ง Center of Excellences เพื่อสนับสนุนงานวิจัยแนวหน้า (Frontier) สร้างงานวิจัยและนวัตกรรมที่มี impact สูง และนำไปใช้ประโยชน์ต่อประเทศชาติ</t>
  </si>
  <si>
    <t>S2-3</t>
  </si>
  <si>
    <t xml:space="preserve">KR-OC 2-1 </t>
  </si>
  <si>
    <r>
      <t>P 2-1(1) โครงการพัฒนาและผลักดันการสร้างผลงานวิจัยและนวัตกรรมที่มีผลกระทบสูง</t>
    </r>
    <r>
      <rPr>
        <sz val="11"/>
        <rFont val="Chulabhorn Likit Text Light"/>
        <charset val="134"/>
      </rPr>
      <t xml:space="preserve">
คําอธิบายประกอบตัวชี้วัด
Technology Readiness Level – TRL คือ เครื่องมือในการสื่อสารระดับความพร้อมของเทคโนโลยีของผลงานวิจัย ตั้งแต่การกําหนดเป้าหมายของโครงการวิจัยและประเมินความพร้อมของผลผลิตของโครงการวิจัยที่ส่งมอบเมื่อปิดโครงการ ประกอบด้วย ระดับ TRL 1-9 
โดยแบ่งเป็น 3 ช่วงหลัก คือ
TRL Level 1-3 เป็นช่วงงานวิจัยพื้นฐาน (Basic research)
TRL Level 4-7 เป็นช่วงการพัฒนาต้นแบบ (Prototype development)
TRL Level 8-9 เป็นช่วงการผลิตหรือการใช้งานต่อเนื่อง (Product on shelf)
ระดับ TRL ดังนี้
• TRL 1 – หลักการพื้นฐานได้รับการพิจารณาและมีการรายงาน
• TRL 2 – มีการสร้างรูปแบบหลักการ และ/หรือการประยุกต์ใช้
• TRL 3 – แนวคิดได้ถูกสาธิตด้วยการวิเคราะห์จําลอง หรือทดลอง
• TRL 4 – องค์ประกอบที่สําคัญได้ถูกสาธิตในระดับห้องปฏิบัติการแล้ว
• TRL 5 – องค์ประกอบที่สําคัญได้ถูกสาธิตในระดับสภาวะที่ใกล้เคียงกับการใช้งาน
• TRL 6 – ต้นแบบของผลิตภัณฑ์หรือกระบวนการที่พร้อมเป็นสิงส่งมอบ ได้ผ่านการสาธิตและพิสูจน์การใช้งานในสภาวะแวดล้อมที่เกี่ยวข้องกับการทํางานจริง
• TRL 7 – ต้นแบบของผลิตภัณฑ์หรือกระบวนการขั้นสุดท้าย ได้ผ่านการสาธิตและพิสูจน์การใช้งานในสภาวะทํางานจริง
• TRL 8 – เทคโนโลยี/ผลิตภัณฑ์/กระบวนการที่ส่งมอบจริง ผ่านการทดสอบคุณภาพการใช้งานตามมาตรฐานของผู้ใช้/มาตรฐานคุณภาพที่เกี่ยวข้อง/กฎหมายที่เกี่ยวข้อง หรือถูกบูรณาการเข้ากับระบบของลูกค้า/ผู้ใช้งานแล้ว
• TRL 9 – เทคโนโลยีหรือผลิตภัณฑ์ถูกนําไปใช้งานจริง และติดตามผลการใช้งานอย่างต่อเนื่องตามระยะเวลาที่เหมาะสม โดยหากมีข้อบกพร่อง ต้องดําเนินการแก้ไขให้เรียบร้อย</t>
    </r>
  </si>
  <si>
    <t>1. ผู้ช่วยคณบดีฝ่ายวิจัยและวิเทศสัมพันธ์
(คณะกรรมการวิจัย)
2. ผู้ช่วยคณบดีฝ่ายบริการวิชาการและสังคม</t>
  </si>
  <si>
    <t xml:space="preserve">1. งานบริหารวิจัย นวัตกรรม และห้องปฏิบัติการวิจัย
2. งานบริการวิชาการและสังคม
</t>
  </si>
  <si>
    <r>
      <t>สูตรในการคํานวณตัวชี้วัด:</t>
    </r>
    <r>
      <rPr>
        <sz val="14"/>
        <rFont val="Chulabhorn Likit Text Light"/>
        <charset val="134"/>
      </rPr>
      <t xml:space="preserve"> นับจํานวนผลงานวิจัยและนวัตกรรมที่อยู่ในระดับ TRL/SRL 4-9 ในปีงบประมาณ</t>
    </r>
  </si>
  <si>
    <r>
      <t>S-KPI 2-1(1)A</t>
    </r>
    <r>
      <rPr>
        <sz val="14"/>
        <rFont val="Chulabhorn Likit Text Light"/>
        <charset val="134"/>
      </rPr>
      <t xml:space="preserve"> จำนวนผลงานวิจัย และนวัตกรรมที่นำไปใช้ประโยชน์ต่อชุมชน สังคม การศึกษา ประเทศชาติ เชิงพาณิชย์ เชิงนโยบาย ที่อยู่ในระดับ TRL/SRL 4-9 (หน่วย: ผลงาน/ปี) (สะสม)</t>
    </r>
  </si>
  <si>
    <t>1. งานบริหารวิจัย นวัตกรรม และห้องปฏิบัติการวิจัย
2. งานบริการวิชาการและสังคม</t>
  </si>
  <si>
    <t>S2-1
S3-3</t>
  </si>
  <si>
    <r>
      <t>U-KPI 2-1(1)A</t>
    </r>
    <r>
      <rPr>
        <sz val="14"/>
        <rFont val="Chulabhorn Likit Text Light"/>
        <charset val="134"/>
      </rPr>
      <t xml:space="preserve"> จำนวนนวัตกรรมบริการสุขภาพสะสม (หน่วย: ผลงาน/ปี)</t>
    </r>
  </si>
  <si>
    <t>S2-1</t>
  </si>
  <si>
    <r>
      <t>U-KPI 2-1(1)B</t>
    </r>
    <r>
      <rPr>
        <sz val="14"/>
        <rFont val="Chulabhorn Likit Text Light"/>
        <charset val="134"/>
      </rPr>
      <t xml:space="preserve"> จำนวนงานวิจัยหรือนวัตกรรมที่ได้ยื่นการจดสิทธิบัตรหรืออนุสิทธิบัตร (หน่วย: เรื่อง/ปี)</t>
    </r>
  </si>
  <si>
    <t>1. งานบริหารวิจัย นวัตกรรม และห้องปฏิบัติการวิจัย</t>
  </si>
  <si>
    <r>
      <t>U-KPI 2-1(1)C</t>
    </r>
    <r>
      <rPr>
        <sz val="14"/>
        <rFont val="Chulabhorn Likit Text Light"/>
        <charset val="134"/>
      </rPr>
      <t xml:space="preserve"> จำนวนงานวิจัยหรือนวัตกรรมที่ได้ยื่นการจดแจ้งลิขสิทธิ์ (หน่วย: เรื่อง/ปี/คน)</t>
    </r>
  </si>
  <si>
    <t>S2-2</t>
  </si>
  <si>
    <t xml:space="preserve">KR-OP 2-1 </t>
  </si>
  <si>
    <t>• SRL 1 – การวิเคราะห์ปัญหาและกําหนดความพร้อมของความรู้และเทคโนโลยีทางด้านสังคมที่มี 
• SRL 2 – การกําหนดปัญหา การเสนอแนวคิดในการพัฒนาหรือการแก้ปัญหาและคาดการณ์ ผลกระทบที่อาจเกิดขึ้น และระบุผู้มีส่วนได้ส่วนเสียที่เกี่ยวข้องในโครงการ 
• SRL 3 – ศึกษา วิจัย ทดสอบแนวทางการพัฒนาหรือแก้ปัญหาที่กําหนดขึ้นร่วมกับผู้มีส่วนได้ส่วนเสียที่เกี่ยวข้อง
• SRL 4 – ตรวจสอบแนวทางการแก้ปัญหาโดยการทดสอบในพื้นที่นําร่องเพื่อยืนยันผลกระทบตามที่คาดว่าจะเกิดขึ้น และดูความพร้อมขององค์ความรู้และเทคโนโลยี 
• SRL 5 – แนวทางการแก้ปัญหาได้รับการตรวจสอบ ถูกนําเสนอแก่ผู้มีส่วนได้ส่วนเสียที่เกี่ยวข้อง area 
• SRL 6 – ผลการศึกษานําไปประยุกต์ใช้ในสิงแวดล้อมอื่น และดําเนินการกับผู้มีส่วนได้ส่วนเสียที่เกี่ยวข้องเพื่อให้ได้ข้อเสนอแนะเบื้องต้นเพื่อให้เกิดผลกระทบที่เป็นไปได้ 
• SRL 7 – การปรับปรุงโครงการและ/หรือการแนวทางการพัฒนา การแก้ปัญหา รวมถึงการทดสอบแนวทางการพัฒนา การแก้ปัญหาใหม่ในสภาพแวดล้อมที่เกี่ยวข้องกับผู้มีส่วนได้ส่วนเสีย 
• SRL 8 – เสนอแนวทางการพัฒนา การแก้ปัญหาในรูปแบบแผนการดําเนินงานที่สมบูรณ์ และได้รับการยอมรับ
• SRL 9 – แนวทางการพัฒนาและการแก้ปัญหาของโครงการได้รับการยอมรับและสามารถนําไปประยุกต์ใช้ได้กับสิงแวดล้อมอื่น ๆ</t>
  </si>
  <si>
    <r>
      <t xml:space="preserve">สูตรในการคำนวณตัวชี้วัด:
</t>
    </r>
    <r>
      <rPr>
        <sz val="14"/>
        <rFont val="Chulabhorn Likit Text Light"/>
        <charset val="134"/>
      </rPr>
      <t>จำนวนผลงานวิจัยตีพิมพ์ในวารสารวิชาการระดับนานาชาติที่อยู่ในฐานข้อมูล Scopus ที่อยู่ใน Q1 หารด้วย
จำนวนผลงานตีพิมพ์ในวารสารวิชาการระดับนานาชาติที่อยู่ในฐานข้อมูล Scopus คูณ 100</t>
    </r>
  </si>
  <si>
    <r>
      <t>S-KPI 2-1(1)B</t>
    </r>
    <r>
      <rPr>
        <sz val="14"/>
        <rFont val="Chulabhorn Likit Text Light"/>
        <charset val="134"/>
      </rPr>
      <t xml:space="preserve"> ร้อยละจำนวนผลงานตีพิมพ์ Q1 ต่อจำนวนผลงานตีพิมพ์นานาชาติ Q1-Q4 (หน่วย: ร้อยละ/ปี)</t>
    </r>
  </si>
  <si>
    <r>
      <t xml:space="preserve">สูตรในการคำนวณตัวชี้วัด:
</t>
    </r>
    <r>
      <rPr>
        <sz val="14"/>
        <rFont val="Chulabhorn Likit Text Light"/>
        <charset val="134"/>
      </rPr>
      <t>จำนวนผลงานวิจัยตีพิมพ์ในวารสารวิชาการระดับนานาชาติที่อยู่ในฐานข้อมูล Scopus ที่อยู่ใน Q1 หารด้วยจำนวนอาจารย์ของคณะที่อายุงานมากกว่า 1 ปี คูณ 100</t>
    </r>
  </si>
  <si>
    <r>
      <t>S-KPI2-1(1)C</t>
    </r>
    <r>
      <rPr>
        <b/>
        <sz val="14"/>
        <rFont val="Chulabhorn Likit Text Light"/>
        <charset val="134"/>
      </rPr>
      <t xml:space="preserve"> </t>
    </r>
    <r>
      <rPr>
        <sz val="14"/>
        <rFont val="Chulabhorn Likit Text Light"/>
        <charset val="134"/>
      </rPr>
      <t>สัดส่วนของผลงานตีพิมพ์ Q1 ต่อจำนวนอาจารย์ (หน่วย: ร้อยละ/ปี)</t>
    </r>
  </si>
  <si>
    <t>P 2-1(2) โครงการวิจัยมุ่งเป้าคณะ/ทุนแผนงาน</t>
  </si>
  <si>
    <r>
      <t>วารสารวิ</t>
    </r>
    <r>
      <rPr>
        <sz val="14"/>
        <rFont val="Arial"/>
        <charset val="134"/>
      </rPr>
      <t></t>
    </r>
    <r>
      <rPr>
        <sz val="14"/>
        <rFont val="Chulabhorn Likit Text Light"/>
        <charset val="134"/>
      </rPr>
      <t>ชาการระดับนานาชาติหมายถึง วารสารวิชาการที่ปรากฏในฐานข้อมูลสากล เช่น ฐานข้อมูล Scopus หรือฐานข้อมูลสากลอื่นๆ ที่เป็นที่ยอมรับในศาสตร์นั้นๆ หรือฐานข้อมูลที่เป็</t>
    </r>
    <r>
      <rPr>
        <sz val="14"/>
        <rFont val="Arial"/>
        <charset val="134"/>
      </rPr>
      <t></t>
    </r>
    <r>
      <rPr>
        <sz val="14"/>
        <rFont val="Chulabhorn Likit Text Light"/>
        <charset val="134"/>
      </rPr>
      <t>นที่ยอมรับในระดับนานาชาติ ตามหลักเกณฑ์ที่ กพอ.กำหนด เป็นต้น</t>
    </r>
  </si>
  <si>
    <r>
      <t>U-KPI 2-1(2)</t>
    </r>
    <r>
      <rPr>
        <sz val="14"/>
        <rFont val="Chulabhorn Likit Text Light"/>
        <charset val="134"/>
      </rPr>
      <t xml:space="preserve"> จำนวนผลงานตีพิมพ์ระดับนานาชาติทั้งหมด (หน่วย: ผลงาน/ปี)</t>
    </r>
  </si>
  <si>
    <t>KR-OC 2-1</t>
  </si>
  <si>
    <t xml:space="preserve">P 2-1(3) โครงการพัฒนางานวิจัยกับหน่วยงานภายนอก ทั้งในและต่างประเทศ *
</t>
  </si>
  <si>
    <t>1. ผู้ช่วยคณบดีฝ่ายวิจัยและวิเทศสัมพันธ์
2. คณะกรรมการวิเทศสัมพันธ์และเครือข่ายฯ</t>
  </si>
  <si>
    <t>1. งานบริหารวิจัย นวัตกรรม และห้องปฏิบัติการวิจัย
2. งานเลขานุการคณบดี สารบรรณ การบริหารเครือข่าย วิเทศสัมพันธ์ และกิจกรรมพิเศษ</t>
  </si>
  <si>
    <t>โครงการวิจัยใหม่ที่มีความร่วมมือกับหน่วยงานภายนอก ทั้งในและต่างประเทศ (นับเฉพาะโครงการใหม่)</t>
  </si>
  <si>
    <r>
      <t>U-KPI 2-1(3)</t>
    </r>
    <r>
      <rPr>
        <sz val="14"/>
        <rFont val="Chulabhorn Likit Text Light"/>
        <charset val="134"/>
      </rPr>
      <t xml:space="preserve"> จำนวนโครงการวิจัยใหม่ที่มีความร่วมมือกับหน่วยงานภายนอก ทั้งในและต่างประเทศ (หน่วย: เรื่อง/ปี)</t>
    </r>
  </si>
  <si>
    <t>SM 2-2 พัฒนางานวิจัยและนวัตกรรมเชิงปัญญาประดิษฐ์ทางการแพทย์และ Big Data</t>
  </si>
  <si>
    <t xml:space="preserve">KR-OP 2-3 </t>
  </si>
  <si>
    <t>P 2-2(1) โครงการพัฒนากลุ่มวิจัยสหวิทยาการสำหรับปัญญาประดิษฐ์ด้านการแพทย์ (Interdisciplinary research group for AI in medicine)
- วิจัย AICEDA
- โครงการเพิ่มประสิทธิภาพทรัพยากรการประมวลผลปัญญาประดิษฐ์ สำหรับงานฟิสิกส์การแพทย์
- โครงการร่วมระหว่างคณะแพทยศาสตร์ศรีสวางควัฒน กับ งานชีวสถิติและจัดการข้อมูลวิจัย สำนักบริหารวิจัยและนวัตกรรม</t>
  </si>
  <si>
    <t>1. ผู้ช่วยคณบดีฝ่ายบริหารสารสนเทศและเทคโนโลยีดิจิทัล
2. ผู้ช่วยคณบดีฝ่ายวิจัยและวิเทศสัมพันธ์</t>
  </si>
  <si>
    <t xml:space="preserve">1. งานบริหารวิจัย นวัตกรรม และห้องปฏิบัติการวิจัย
2. ทีมวิจัย AICEDA / อาจารย์ทศพร เฟื่องรอด
</t>
  </si>
  <si>
    <r>
      <t>S-KPI 2-2(1)</t>
    </r>
    <r>
      <rPr>
        <sz val="14"/>
        <rFont val="Chulabhorn Likit Text Light"/>
        <charset val="134"/>
      </rPr>
      <t xml:space="preserve"> จำนวนผลงานวิจัย นวัตกรรม และต้นแบบผลิตภัณฑ์เชิงปัญญาประดิษฐ์ (หน่วย: เรื่องต่อปี)</t>
    </r>
  </si>
  <si>
    <t>1. งานบริหารวิจัย นวัตกรรม และห้องปฏิบัติการวิจัย
2. ทีมวิจัย AICEDA อาจารย์ทศพร เฟื่องรอด</t>
  </si>
  <si>
    <r>
      <t>U-KPI 2-2(1)</t>
    </r>
    <r>
      <rPr>
        <sz val="14"/>
        <rFont val="Chulabhorn Likit Text Light"/>
        <charset val="134"/>
      </rPr>
      <t xml:space="preserve"> จำนวนผลงานวิจัยและนวัตกรรมจาก Innovation Hub (หน่วย: ผลงาน/ปี)</t>
    </r>
  </si>
  <si>
    <t xml:space="preserve">SP 2(2): Research Development and Innovation (RDI) Eco-system </t>
  </si>
  <si>
    <t>SM 2-3 พัฒนาระบบสนับสนุนงานวิจัยแบบไร้รอยต่อ (Seamless Research Support System)</t>
  </si>
  <si>
    <t>P 2-3(1) พัฒนาระบบบริหารจัดการวิจัยภายในคณะแบบไร้รอยต่อ (Seamless Research Support System)</t>
  </si>
  <si>
    <r>
      <t>เกณฑ์คะแนนความสำเร็จของ Seamless Research Support System</t>
    </r>
    <r>
      <rPr>
        <sz val="12"/>
        <rFont val="Chulabhorn Likit Text Light"/>
        <charset val="134"/>
      </rPr>
      <t xml:space="preserve">
ระดับที่ 1: มีการพัฒนาฐานข้อมูลสำหรับจัดเก็บข้อมูล
ระดับที่ 2:  มีการพัฒนาฐานข้อมูลสำหรับจัดเก็บข้อมูลและ Dashboard แสดงผลการดำเนินการที่อัปเดตทุกสัปดาห์
ระดับที่ 3: มีการพัฒนาขั้นตอนการขออนุมัติโครงการวิจัย/เบิกจ่ายงบประมาณ/จัดซื้อจัดจ้างในโครงการวิจัย ตลอดจนการขอ EC ให้กระชับและมีกำหนดระยะเวลาชัดเจน
ระดับที่ 4: มีคู่มือขั้นตอนในการบริหารจัดการวิจัยและแบบฟอร์มต่างๆ เผยแพร่ในเว็บคณะเพื่อนักวิจัยเข้าถึงได้สะดวก
ระดับที่ 5: ผู้วิจัยสามารถเข้าถึงข้อมูลด้านการวิจัยผ่านเว็บคณะแบบ One stop service ทั้งข้อมูลที่ใช้ดำเนินการวิจัย ข้อมูลประชาสัมพันธ์ ข้อมูลผลการดำเนินโครงการวิจัย</t>
    </r>
  </si>
  <si>
    <r>
      <t xml:space="preserve">S-KPI 2-3(1) </t>
    </r>
    <r>
      <rPr>
        <sz val="14"/>
        <rFont val="Chulabhorn Likit Text Light"/>
        <charset val="134"/>
      </rPr>
      <t xml:space="preserve">ความสำเร็จของการพัฒนาระบบบริหารจัดการวิจัยภายในคณะแบบไร้รอยต่อ (Seamless Research Support System) (หน่วย: ระดับคะแนน/ปี)
</t>
    </r>
  </si>
  <si>
    <t>2. ผู้ช่วยคณบดีฝ่ายบริหารสารสนเทศและเทคโนโลยีดิจิทัล
(คณะกรรมการเทคโนโลยีสารสนเทศ)</t>
  </si>
  <si>
    <t>2. งานเทคโนโลยีสารสนเทศ โสตทัศนูปกรณ์ ห้องสมุดและอาคารสถานที่</t>
  </si>
  <si>
    <t>ประเมินความพึงพอใจการบริการ การติดตามการขออนุมัติ/จัดซื้อจัดจ้าง ในโครงการ และการพัฒนาระบบสารสนเทศสนับสนุนด้านข้อมูลทุนและติดตามผลงานวิจัยและนวัตกรรม ระดับคณะฯ</t>
  </si>
  <si>
    <r>
      <t>U-KPI 2-3(1)</t>
    </r>
    <r>
      <rPr>
        <sz val="14"/>
        <rFont val="Chulabhorn Likit Text Light"/>
        <charset val="134"/>
      </rPr>
      <t xml:space="preserve"> ร้อยละความพึงพอใจระบบสนับสนุนงานวิจัย ของอาจารย์และนักวิจัย (หน่วย: ร้อยละ/ปี)</t>
    </r>
  </si>
  <si>
    <t>SM 2-4 พัฒนาสนามจำลอง (Sandbox) เพื่อสนับสนุนการสร้างสปินออฟ (spinoff) และต่อยอดงานวิจัยและนวัตกรรมทางการแพทย์ในเชิงพาณิชย์</t>
  </si>
  <si>
    <t>S2-4</t>
  </si>
  <si>
    <t>KR-OP 2-2</t>
  </si>
  <si>
    <t>P 2-4(1) โครงการส่งเสริมการขอทุนวิจัยและพัฒนานวัตกรรมจากองค์กรภายนอก เพื่อรองรับการพัฒนางานนวัตกรรมและสิ่งประดิษฐ์ ในเชิงพาณิชย์ และให้คำปรึกษาสำหรับผู้เริ่มต้นทำงานวิจัยและนวัตกรรม</t>
  </si>
  <si>
    <t xml:space="preserve"> - นโยบายอาจารย์ที่อายุงานมากกว่า 5 ปี ขอทุนมากกว่า 3 ล้านบาท
สูตรในการคํานวณตัวชี้วัด นับจํานวนโครงการวิจัยที่นักวิจัยภายใต้สังกัดราชคณะจุฬาภรณ์เป็นหัวหน้าโครงการวิจัยและได้รับทุนวิจัยจากแหล่งทุนภายนอก ทั้งภายในประเทศและต่างประเทศ มากกว่า 3 ล้านบาทขึ้นไปต่อโครงการ โดยแหล่งทุนภายนอก อาทิเช่น ทุน Fundamental 
Fund, แหล่งทุนภายนอก PMU ต่างๆ 
ทั้งนี้ไม่รวมเงินวิจัยโครงการวิจัยเชิงทดลองทางคลินิกที่เป็น Sponsors Trials</t>
  </si>
  <si>
    <r>
      <t>S-KPI 2-4(1)</t>
    </r>
    <r>
      <rPr>
        <sz val="14"/>
        <rFont val="Chulabhorn Likit Text Light"/>
        <charset val="134"/>
      </rPr>
      <t xml:space="preserve"> จำนวนโครงการที่ได้รับเงินทุนวิจัยจากแหล่งทุนภายนอกมากกว่า 3 ล้านบาท (หน่วย: โครงการ/ปี)</t>
    </r>
  </si>
  <si>
    <r>
      <t>U-KPI 2-4(1)A</t>
    </r>
    <r>
      <rPr>
        <sz val="14"/>
        <rFont val="Chulabhorn Likit Text Light"/>
        <charset val="134"/>
      </rPr>
      <t xml:space="preserve"> จำนวนเงินงบประมาณที่ได้รับจากแหล่งทุนภายนอก (หน่วย: ล้านบาท/ปี)</t>
    </r>
  </si>
  <si>
    <t>&gt; 10</t>
  </si>
  <si>
    <t>&gt; 20</t>
  </si>
  <si>
    <t>&gt; 30</t>
  </si>
  <si>
    <t>&gt; 40</t>
  </si>
  <si>
    <t>&gt;50</t>
  </si>
  <si>
    <r>
      <t xml:space="preserve">U-KPI 2-4(1)B </t>
    </r>
    <r>
      <rPr>
        <sz val="14"/>
        <rFont val="Chulabhorn Likit Text Light"/>
        <charset val="134"/>
      </rPr>
      <t>จำนวนเงินงบประมาณที่ได้รับจากแหล่งทุนภายนอกและภายในต่อผู้วิจัย (หน่วย: ล้านบาท/คน/ปี)</t>
    </r>
  </si>
  <si>
    <t>P 2-4(2) โครงการพัฒนาสนามจำลอง (Sandbox) เพื่อสนับสนุนการสร้างสปินออฟ (spinoff) และต่อยอดงานวิจัยและนวัตกรรมทางการแพทย์ในเชิงพาณิชย์</t>
  </si>
  <si>
    <t>1. ผู้ช่วยคณบดีฝ่ายวิจัยและวิเทศสัมพันธ์
2. ผู้ช่วยคณบดีฝ่ายบริหารสารสนเทศและเทคโนโลยีดิจิทัล</t>
  </si>
  <si>
    <r>
      <t>S-KPI 2-4(2)</t>
    </r>
    <r>
      <rPr>
        <sz val="14"/>
        <rFont val="Chulabhorn Likit Text Light"/>
        <charset val="134"/>
      </rPr>
      <t xml:space="preserve"> จำนวนผลงานวิจัย/นวัตกรรมที่ต่อยอดสู่เชิงพาณิชย์ (หน่วย: ผลงาน/ปี)</t>
    </r>
  </si>
  <si>
    <t>SP 2(3): Human capital as a driver for research and innovation</t>
  </si>
  <si>
    <t>SM 2-5 ส่งเสริมการมีส่วนร่วมในการพัฒนางานวิจัยและนวัตกรรมในนักศึกษา บุคลากรสายสนับสนุน และอาจารย์</t>
  </si>
  <si>
    <t>S2-5</t>
  </si>
  <si>
    <t>P 2-5(1) โครงการเพิ่มศักยภาพบุคลากรสายสนับสนุนด้าน R2R (แต่ละโครงการมีส่วนร่วมได้หลายคน)</t>
  </si>
  <si>
    <t>1. ผู้ช่วยคณบดีฝ่ายบริหารและพัฒนาทรัพยากรมนุษย์
(คณะกรรมการ HR)</t>
  </si>
  <si>
    <t>1. งานทรัพยากรบุคคลและการจัดการความรู้</t>
  </si>
  <si>
    <t>สูตรในการคํานวณตัวชี้วัด นับจํานวนโครงการวิจัยใหม่ที่เกิดจากการพัฒนางานประจํา (R2R) ของบุคลากรราชคณะจุฬาภรณ์ ในปีงบประมาณ ที่ได้รับการอนุมัติดำเนินการ</t>
  </si>
  <si>
    <r>
      <t>S-KPI 2-5(1)</t>
    </r>
    <r>
      <rPr>
        <sz val="14"/>
        <rFont val="Chulabhorn Likit Text Light"/>
        <charset val="134"/>
      </rPr>
      <t xml:space="preserve"> จำนวนโครงการวิจัย R2R ที่ได้รับการอนุมัติดำเนินการ (หน่วย: โครงการ/ปี) (สะสม)</t>
    </r>
  </si>
  <si>
    <t>1. งานทรัพยากรบุคคลและการจัดการความรู้
2. งานบริหารวิจัย นวัตกรรม และห้องปฏิบัติการวิจัย</t>
  </si>
  <si>
    <t xml:space="preserve">2. ผู้ช่วยคณบดีฝ่ายวิจัยและวิเทศสัมพันธ์
(คณะกรรมการวิจัย)
3. หัวหน้าสำนักงานคณบดี
</t>
  </si>
  <si>
    <t>2. งานบริหารวิจัย นวัตกรรม และห้องปฏิบัติการวิจัย</t>
  </si>
  <si>
    <t>สูตรในการคํานวณตัวชี้วัด นับจํานวนโครงการวิจัยใหม่ที่เกิดจากการพัฒนางานประจํา (R2R) ของบุคลากรราชคณะจุฬาภรณ์ ในปีงบประมาณ ที่ได้เสนอหัวข้อหรือโครงร่างวิจัย</t>
  </si>
  <si>
    <r>
      <t>U-KPI 2-5(1)</t>
    </r>
    <r>
      <rPr>
        <sz val="14"/>
        <rFont val="Chulabhorn Likit Text Light"/>
        <charset val="134"/>
      </rPr>
      <t xml:space="preserve"> จำนวนโครงการวิจัย R2R ใหม่ ที่ได้เสนอหัวข้อหรือโครงร่างวิจัย (หน่วย: โครงการ/ปี) (สะสม)</t>
    </r>
  </si>
  <si>
    <t>1. งานทรัพยากรบุคคลและการจัดการความรู้
2. งานบริหารวิจัย นวัตกรรม และห้องปฏิบัติการวิจัย
3. หัวหน้าสำนักงานคณบดี</t>
  </si>
  <si>
    <t xml:space="preserve">KR-OP 2-4 </t>
  </si>
  <si>
    <t>P 2-5(2) โครงการสร้างระบบสนับสนุนการเผยแพร่ผลงานวิจัยในต่างประเทศ</t>
  </si>
  <si>
    <t>1. ผู้ช่วยคณบดีฝ่ายวิจัยและวิเทศสัมพันธ์
(คณะกรรมการวิจัย)
(คณะกรรมการวิเทศสัมพันธ์)</t>
  </si>
  <si>
    <t xml:space="preserve">1. งานบริหารวิจัย นวัตกรรม และห้องปฏิบัติการวิจัย
2. งานเลขานุการคณบดี สารบรรณ การบริหารเครือข่าย วิเทศสัมพันธ์ และกิจกรรมพิเศษ
</t>
  </si>
  <si>
    <t>ผลงานวิจัยที่ได้รับการนำเสนอในการประชุมวิชาการระดับนานาชาติทั้งของอาจารย์และนักศึกษา</t>
  </si>
  <si>
    <r>
      <t>S-KPI 2-5(2)</t>
    </r>
    <r>
      <rPr>
        <sz val="14"/>
        <rFont val="Chulabhorn Likit Text Light"/>
        <charset val="134"/>
      </rPr>
      <t xml:space="preserve"> จำนวนผลงานวิจัยที่ได้รับการนำเสนอในการประชุมวิชาการระดับนานาชาติ (หน่วย: ผลงาน/ปี)</t>
    </r>
  </si>
  <si>
    <t>P 2-5(3) โครงการพัฒนางานวิจัยและสร้างนวัตกรรม และนำเสนอผลงาน/ตีพิมพ์ สำหรับนักศึกษา</t>
  </si>
  <si>
    <t>1. ผู้ช่วยคณบดีฝ่ายวิจัยและวิเทศสัมพันธ์
(คณะกรรมการวิจัย)</t>
  </si>
  <si>
    <t>นับผลงานของนศ.ทั้งหมด</t>
  </si>
  <si>
    <r>
      <t>S-KPI 2-5(3)</t>
    </r>
    <r>
      <rPr>
        <b/>
        <sz val="14"/>
        <rFont val="Chulabhorn Likit Text Light"/>
        <charset val="134"/>
      </rPr>
      <t xml:space="preserve"> </t>
    </r>
    <r>
      <rPr>
        <sz val="14"/>
        <rFont val="Chulabhorn Likit Text Light"/>
        <charset val="134"/>
      </rPr>
      <t>จำนวนผลงานของนักศึกษาที่นำเสนอผลงานหรือตีพิมพ์ (หน่วย: ผลงาน/ปี)</t>
    </r>
  </si>
  <si>
    <t>ยุทธศาสตร์ที่ 3</t>
  </si>
  <si>
    <t xml:space="preserve">Community Engagement for Promoting Healthy Societies
การมีส่วนร่วมของชุมชนเพื่อส่งเสริมสังคมสุขภาพดี </t>
  </si>
  <si>
    <t>SP 3(1): Establish partnerships and mechanisms for developing sustainable healthy communities</t>
  </si>
  <si>
    <t>SM 3-1 แสวงหาภาคีเครือข่ายเพื่อสร้างกลไกในการพัฒนาชุมชนสุขภาพดีอย่างเป็นระบบและยั่งยืน</t>
  </si>
  <si>
    <t>S3-3</t>
  </si>
  <si>
    <t xml:space="preserve">KR-OP 3-1 </t>
  </si>
  <si>
    <t>P 3-1(1) ดำเนินการแสวงหาภาคีเครือข่ายเพื่อสร้างกลไกในการพัฒนาชุมชนสุขภาพดีอย่างเป็นระบบและยั่งยืน</t>
  </si>
  <si>
    <t>ผศ.นพ.วิสุทธิ์ ล้ำเลิศธน (คณะกรรมการบริการวิชาการและสังคม)</t>
  </si>
  <si>
    <t>1. งานบริการวิชาการและสังคมฯ</t>
  </si>
  <si>
    <t>ภาคีเครือข่าย หมายถึง องค์กร หรือ ส่วนงานภายนอกราชคณะจุฬาภรณ์ที่เข้าร่วมกิจกรรมหรือโครงการในการสร้างเสริมสุขภาพชุมชนอย่างเป็นระบบ</t>
  </si>
  <si>
    <r>
      <t>S-KPI 3-1(1)</t>
    </r>
    <r>
      <rPr>
        <sz val="14"/>
        <rFont val="Chulabhorn Likit Text Light"/>
        <charset val="134"/>
      </rPr>
      <t xml:space="preserve"> จำนวนภาคีเครือข่ายเพื่อพัฒนาสร้างเสริมสุขภาพชุมชนอย่างเป็นระบบ (หน่วย: องค์กร/ปี) </t>
    </r>
  </si>
  <si>
    <t>≥ 2</t>
  </si>
  <si>
    <t>KR-OP 3-2</t>
  </si>
  <si>
    <t>P 3-1(2) โครงการหรือกิจกรรมด้านสุขภาพที่ดำเนินการโดยชุมชนหรือภาคีเครือข่าย</t>
  </si>
  <si>
    <t>จำนวนโครงการหรือกิจกรรมด้านสุขภาพที่ดำเนินการโดยชุมชนหรือภาคีเครือข่าย ที่เป็นองค์กร หรือ ส่วนงานภายนอกราชคณะจุฬาภรณ์</t>
  </si>
  <si>
    <r>
      <t>U-KPI 3-1(2)</t>
    </r>
    <r>
      <rPr>
        <sz val="14"/>
        <rFont val="Chulabhorn Likit Text Light"/>
        <charset val="134"/>
      </rPr>
      <t xml:space="preserve"> จำนวนโครงการหรือกิจกรรมด้านสุขภาพที่ดำเนินการโดยชุมชนหรือภาคีเครือข่าย (หน่วย: โครงการ/ปี) (นับโครงการใหม่)</t>
    </r>
  </si>
  <si>
    <t>SP 3(2): Use medical knowledge and technologies to promote better health of people in communities</t>
  </si>
  <si>
    <t> SM 3-2 ใช้ความรู้และเทคโนโลยีทางการแพทย์เพื่อส่งเสริมสุขภาพของคนในชุมชนให้ดีขึ้น</t>
  </si>
  <si>
    <t>KR-OP 3-3
KR-OC 3-1</t>
  </si>
  <si>
    <t>P 3-2(1) โครงการพัฒนาองค์ความรู้เพื่อสร้างผลิตภัณฑ์หรือนวัตกรรมส่งเสริมสุขภาพของชุมชน</t>
  </si>
  <si>
    <t xml:space="preserve">ผศ.นพ.ณัฐวุฒิ กันตถาวร (คณะกรรมการบริการวิชาการและสังคม)
</t>
  </si>
  <si>
    <t xml:space="preserve">ผลิตภัณฑ์ชุมชนเพื่อการส่งเสริมสุขภาพ คือ ผลิตภัณฑ์ที่ดำเนินการผลิตหรือจัดโดยชุมชนเป้าหมายทั้ง 2 แห่ง </t>
  </si>
  <si>
    <r>
      <t>S-KPI 3-2(1)</t>
    </r>
    <r>
      <rPr>
        <sz val="14"/>
        <rFont val="Chulabhorn Likit Text Light"/>
        <charset val="134"/>
      </rPr>
      <t xml:space="preserve"> จำนวนผลิตภัณฑ์ชุมชนเพื่อการส่งเสริมสุขภาพ (หน่วย: ผลิตภัณฑ์/ชุมชน/ปี) (สะสม)</t>
    </r>
  </si>
  <si>
    <t>SP 3(3): Develop communities for quality health education and research</t>
  </si>
  <si>
    <t>SM 3-3 พัฒนาชุมชนให้มีความพร้อมด้านการศึกษาและวิจัยด้านสุขภาพอย่างมีคุณภาพ</t>
  </si>
  <si>
    <t>KR-OC 3-3</t>
  </si>
  <si>
    <t>P 3-3(1) โครงการอาสาจุฬาภรณ์ (ขยายผล)
   - ชุมชนต้านมะเร็ง
   - ทุนวิจัยชุมชนต้นแบบเพื่อสุขภาพอย่างยั่งยืน (ววน.)
   - วิจัยชุมชนเชิงสังคม</t>
  </si>
  <si>
    <t>คุณภาพชีวิตในระดับชุมชน คือ ดัชนีสุขภาวะที่ดำเนินการสำรวจก่อนและหลังการให้การอบรมและการดำเนินกิจกรรมตามโครงการอาสาจุฬาภรณ์</t>
  </si>
  <si>
    <r>
      <t>S-KPI 3-3(1)A</t>
    </r>
    <r>
      <rPr>
        <sz val="14"/>
        <rFont val="Chulabhorn Likit Text Light"/>
        <charset val="134"/>
      </rPr>
      <t xml:space="preserve"> คุณภาพชีวิตในระดับชุมชน มีระดับดีขึ้นมากกว่าร้อยละ 10 ใน 5 ปี (หน่วย: ร้อยละ/ปี)</t>
    </r>
  </si>
  <si>
    <t>KR-OP 3-3
KR-OP 3-4</t>
  </si>
  <si>
    <r>
      <t>สูตรในการคำนวณตัวชี้วัด:</t>
    </r>
    <r>
      <rPr>
        <sz val="14"/>
        <rFont val="Chulabhorn Likit Text Light"/>
        <charset val="134"/>
      </rPr>
      <t xml:space="preserve">
นับจำนวนบริการสุขภาพที่ร่วมมือกับส่วนงานภายในหรือองค์กรภายนอก ที่มีผลการดำเนินงานอันเป็</t>
    </r>
    <r>
      <rPr>
        <sz val="14"/>
        <rFont val="Arial"/>
        <charset val="134"/>
      </rPr>
      <t></t>
    </r>
    <r>
      <rPr>
        <sz val="14"/>
        <rFont val="Chulabhorn Likit Text Light"/>
        <charset val="134"/>
      </rPr>
      <t>นประโยชน์ต่อชุมชน สังคม
และเป็</t>
    </r>
    <r>
      <rPr>
        <sz val="14"/>
        <rFont val="Arial"/>
        <charset val="134"/>
      </rPr>
      <t></t>
    </r>
    <r>
      <rPr>
        <sz val="14"/>
        <rFont val="Chulabhorn Likit Text Light"/>
        <charset val="134"/>
      </rPr>
      <t>นหนึ่งในต้นแบบของประเทศ โดยได้รับรางวัลระดับชาติหรือนานาชาติ เช่น รางวัลเลิศรัตน์</t>
    </r>
  </si>
  <si>
    <r>
      <t>S-KPI 3-3(1)B</t>
    </r>
    <r>
      <rPr>
        <sz val="14"/>
        <rFont val="Chulabhorn Likit Text Light"/>
        <charset val="134"/>
      </rPr>
      <t xml:space="preserve"> จำนวนการบริการสุขภาพ ที่ร่วมมือกับองค์กรภายในและภายนอก ที่มีผลการดำเนินงานอันเป็นประโยชน์ต่อชุมชน สังคม และเป็นหนึ่งในต้นแบบของประเทศ (สะสม) (หน่วย: ผลงาน/ปี)</t>
    </r>
  </si>
  <si>
    <t>S3-3
S2-1</t>
  </si>
  <si>
    <t xml:space="preserve">ผลงานด้านการศึกษาหรือวิจัย คือ ผลงานที่เป็นหลักสูตรระยะสั้นที่ใช้ในโครงการ หรือ ผลงานด้านการวิจัยชุมุชน </t>
  </si>
  <si>
    <r>
      <t>U-KPI 3-3(1)A</t>
    </r>
    <r>
      <rPr>
        <sz val="14"/>
        <rFont val="Chulabhorn Likit Text Light"/>
        <charset val="134"/>
      </rPr>
      <t xml:space="preserve"> มีผลงานด้านการศึกษาหรือวิจัยเพื่อสร้างการเปลี่ยนแปลงด้านสุขภาพในชุมชน (หน่วย: ผลงาน/ปี)</t>
    </r>
  </si>
  <si>
    <t xml:space="preserve">KR-OC 3-2 </t>
  </si>
  <si>
    <t xml:space="preserve">เป็นผลงานหรือกิจกรรมที่ชุมชนได้ส่งเข้าประกวดในเวทีต่างๆ </t>
  </si>
  <si>
    <r>
      <t>U-KPI 3-3(1)B</t>
    </r>
    <r>
      <rPr>
        <sz val="14"/>
        <rFont val="Chulabhorn Likit Text Light"/>
        <charset val="134"/>
      </rPr>
      <t xml:space="preserve"> ผลการดำเนินงานของชุมชนได้รับเข้าร่วมการประกวดในโครงการพัฒนาสุขภาพชุมชน (หน่วย:โครงการหรือผลงาน/ปี) </t>
    </r>
  </si>
  <si>
    <t>ยุทธศาสตร์ที่ 4</t>
  </si>
  <si>
    <t xml:space="preserve">เป็นองค์กรสมรรถนะสูง ที่ขับเคลื่อนด้วยข้อมูล อย่างมีประสิทธิภาพ เพื่อความยั่งยืน 
(A high-performance organization driven by data efficiently for sustainability) </t>
  </si>
  <si>
    <t>SP 4(1): Integrated Management Platform</t>
  </si>
  <si>
    <t>ค่าคาดการณ์เป้าหมายแต่ละปี</t>
  </si>
  <si>
    <t>SM 4-1 พัฒนา Integrated Digital Platform ที่รวมฐานข้อมูลกลางและระบบวิเคราะห์ข้อมูลเพื่อสนับสนุนการตัดสินใจ</t>
  </si>
  <si>
    <t>S4-2 (16.3.1)</t>
  </si>
  <si>
    <t>KR-OP 4-1
KR-OP 4-2</t>
  </si>
  <si>
    <t>P 4-1(1) โครงการพัฒนาแพลตฟอร์มดิจิทัลแบบบูรณาการ (Integrated Management Platform)
วัตถุประสงค์:
 - เพื่อพัฒนาระบบสารสนเทศสำหรับผู้บริหารที่สามารถแสดงข้อมูลสำคัญแบบ Real-time
 - เพื่อสนับสนุนการตัดสินใจเชิงนโยบายด้วยข้อมูลเชิงประจักษ์</t>
  </si>
  <si>
    <t>1. ผู้ช่วยคณบดีฝ่ายบริหารสารสนเทศและเทคโนโลยีดิจิทัล
(คณะกรรมการเทคโนโลยีสารสนเทศ)</t>
  </si>
  <si>
    <t xml:space="preserve">ระบบ EIS หมายถึง ระบบรายงานผล ระบบวิเคราะห์ข้อมูล ระบบสนับสนุนการตัดสินใจ เน้นข้อมูลเชิงกลยุทธ์และการตัดสินใจของผู้บริหาร
ระบบ IMP เป็นแพลตฟอร์มที่รวมระบบย่อยหลายระบบ เช่น ERP (Enterprise Resource Planning), CRM (Customer Relationship Management), HRM (Human Resource Management) เน้นการบูรณาการทุกระบบและกระบวนการในองค์กร เพื่อเพิ่มประสิทธิภาพในการดำเนินงาน
งานหลักภายใน คือ งานจัดการศึกษา งานวิจัย งานบริการวิชาการและสังคม งานบริหารจัดการคณะ </t>
  </si>
  <si>
    <r>
      <t xml:space="preserve">S-KPI 4-1(1)A </t>
    </r>
    <r>
      <rPr>
        <sz val="14"/>
        <rFont val="Chulabhorn Likit Text Light"/>
        <charset val="134"/>
      </rPr>
      <t xml:space="preserve">ร้อยละของระบบ Integrated Management Platform: IMP หรือ ระบบ Executive Information System: EIS ครอบคลุมงานหลักภายใน คณะ (หน่วย: ร้อยละ/ ปี)
</t>
    </r>
  </si>
  <si>
    <t>S5-1</t>
  </si>
  <si>
    <t>1. ผู้ช่วยคณบดีฝ่ายบริหารสารสนเทศและเทคโนโลยีดิจิทัล
(คณะกรรมการเทคโนโลยีสารสนเทศ)
2. หัวหน้างานทุกงาน
3. หัวหน้าสำนักงานคณบดี</t>
  </si>
  <si>
    <t xml:space="preserve">2. หัวหน้างานทุกงาน
</t>
  </si>
  <si>
    <r>
      <t>เกณฑ์การประเมิน:</t>
    </r>
    <r>
      <rPr>
        <sz val="14"/>
        <rFont val="Chulabhorn Likit Text Light"/>
        <charset val="134"/>
      </rPr>
      <t xml:space="preserve">
นับจำนวนระบบงานที่มีการติดตาม  Process KPI/ จำนวนระบบงานทั้งหมดตามโครงสร้าง 13 ระบบงาน x 100
(สามารถนำเสนอได้อย่างเป็นรูปธรรมทุกรูปแบบทั้ง Dashboard Power BI/ Excel/รายงานความคืบหน้าประจำเดือน)</t>
    </r>
  </si>
  <si>
    <r>
      <t>S-KPI 4-1(1)B</t>
    </r>
    <r>
      <rPr>
        <sz val="14"/>
        <rFont val="Chulabhorn Likit Text Light"/>
        <charset val="134"/>
      </rPr>
      <t xml:space="preserve"> ร้อยละของระบบงานที่มีการติดตาม Process KPI ให้เห็นอย่างเป็นรูปธรรม (หน่วย: ร้อยละ/ ปี)</t>
    </r>
  </si>
  <si>
    <t>1. งานเทคโนโลยีสารสนเทศ โสตทัศนูปกรณ์ ห้องสมุดและอาคารสถานที่
2. หัวหน้างานทุกงาน
3. หัวหน้าสำนักงานคณลดี</t>
  </si>
  <si>
    <t xml:space="preserve">KR-OP 4-1 </t>
  </si>
  <si>
    <t>1. ระบบการให้บริการเทคโนโลยีสารสนเทศ และโสตทัศนูปกรณ์
 ระดับที่ 1 = KPI: PSCM Dashboard ครบทุกฟังก์ชันงาน
 ระดับที่ 2 = KPI: Data Entry Platform (Integration with ROPa (PDPA))
 ระดับที่ 3 = KPI:  Real-time strategic KPIs &gt;80% + Real-time process KPIs &gt;60%
 ระดับที่ 4 = KPI:  Real-time strategic KPIs &gt;95% + Real-time process KPIs &gt;90%
 ระดับที่ 5 = KPI: Cloud-based Data entry platform = 1 system</t>
  </si>
  <si>
    <r>
      <t>U-KPI 4-1(1)A</t>
    </r>
    <r>
      <rPr>
        <sz val="14"/>
        <rFont val="Chulabhorn Likit Text Light"/>
        <charset val="134"/>
      </rPr>
      <t xml:space="preserve"> ระดับคะแนนความสำเร็จของระบบสนับสนุน (Integrated Management Platform) (หน่วย: ระดับคะแนน/ ปี)</t>
    </r>
  </si>
  <si>
    <t>2. ระบบการประเมินผลการปฏิบัติงานตาม PA
หรือกำหนดเกณฑ์แต่ละระดับ ดังนี้
 ระดับที่ 1 = KPI: PSCM Dashboard ครบทุกฟังก์ชันงาน
 ระดับที่ 2 = KPI: Data Entry Platform (Integration with ROPa (PDPA))
 ระดับที่ 3 = KPI:  Real-time strategic KPIs &gt;80% + Real-time process KPIs &gt;60%
 ระดับที่ 4 = KPI:  Real-time strategic KPIs &gt;95% + Real-time process KPIs &gt;90%
 ระดับที่ 5 = KPI: Cloud-based Data entry platform = 1 system</t>
  </si>
  <si>
    <r>
      <t>U-KPI 4-1(1)B</t>
    </r>
    <r>
      <rPr>
        <sz val="14"/>
        <rFont val="Chulabhorn Likit Text Light"/>
        <charset val="134"/>
      </rPr>
      <t xml:space="preserve"> ระดับคะแนนความสำเร็จของระบบสนับสนุน (Integrated Management Platform) (หน่วย: คะแนน/ ปี)</t>
    </r>
  </si>
  <si>
    <t>1. งานเทคโนโลยีสารสนเทศ โสตทัศนูปกรณ์ ห้องสมุดและอาคารสถานที่
2. งานบริหารทรัพยากรบุคคล</t>
  </si>
  <si>
    <t xml:space="preserve"> S4-2 (16.1.2)</t>
  </si>
  <si>
    <r>
      <t>U-KPI 4-1(1)C</t>
    </r>
    <r>
      <rPr>
        <sz val="14"/>
        <rFont val="Chulabhorn Likit Text Light"/>
        <charset val="134"/>
      </rPr>
      <t xml:space="preserve"> ร้อยละของระยะเวลาในการบริหารจัดการระบบ IT Service ลดลงร้อยละ 30 ภายในปี 2570 (หน่วย: ร้อยละ/ปี)</t>
    </r>
  </si>
  <si>
    <r>
      <t>U-KPI 4-1(1)D</t>
    </r>
    <r>
      <rPr>
        <sz val="14"/>
        <rFont val="Chulabhorn Likit Text Light"/>
        <charset val="134"/>
      </rPr>
      <t xml:space="preserve"> ร้อยละของระยะเวลาในการบริหารจัดการระบบ PA ลดลงร้อยละ 30 ภายในปี 2570 (หน่วย: ร้อยละ/ปี)</t>
    </r>
  </si>
  <si>
    <t xml:space="preserve">SM 4-2 ใช้เทคโนโลยี Smart Classroom ในการสนับสนุนการเรียนการสอนและวิจัย
</t>
  </si>
  <si>
    <t>S4-1 (15.3)</t>
  </si>
  <si>
    <t>P 4-2(1) โครงการเพิ่มประสิทธิภาพการเรียนการสอนในรูปแบบ Hybird Learning  
วัตถุประสงค์: 
1. ปรับปรุงห้องเรียนที่มีอยู่ให้รองรับการเรียนการสอนแบบ hybrid อาศัยเทคโนโลยี Smart Classroom
2. พัฒนาทักษะการใช้เทคโนโลยีในห้องเรียนของอาจารย์</t>
  </si>
  <si>
    <t>1. ผู้ช่วยคณบดีฝ่ายบริหารสารสนเทศและเทคโนโลยีดิจิทัล (คณะกรรมการเทคโนโลยีสารสนเทศ)</t>
  </si>
  <si>
    <t xml:space="preserve"> - ปรับปรุงระบบเสียงและภาพในห้องเรียน
 - ปรับปรุงห้องเรียนด้วยเทคโนโลยี Hybrid Learning
 - ติดตั้งระบบบันทึกการสอนอัตโนมัติ
 - อบรมการใช้งานอุปกรณ์ในห้องเรียนอัจฉริยะ</t>
  </si>
  <si>
    <r>
      <t>S-KPI 4-2(1)</t>
    </r>
    <r>
      <rPr>
        <sz val="14"/>
        <rFont val="Chulabhorn Likit Text Light"/>
        <charset val="134"/>
      </rPr>
      <t xml:space="preserve"> ร้อยละผ่านการทดสอบระบบ Smart Classroom รองรับการเรียนการสอนแบบ Hybrid Learning และรองรับการควบคุมสั่งกลางจากศูนย์ควบคุมสั่งการด้านการเรียนการสอน (โซน 8B) (หน่วย: ร้อยละ ของห้องเรียนทั้งหมด/ ปี)</t>
    </r>
  </si>
  <si>
    <r>
      <t>U-KPI 4-2(1)A</t>
    </r>
    <r>
      <rPr>
        <sz val="14"/>
        <rFont val="Chulabhorn Likit Text Light"/>
        <charset val="134"/>
      </rPr>
      <t xml:space="preserve"> ระดับความพึงพอใจผู้ใช้งานระบบ สำหรับห้องประชุม และห้อง tutorial ทั้งอาจารย์และนักศึกษา (มากกว่าหรือเท่ากับ 3.5 จากคะแนนเต็ม 5) (หน่วย: ระดับคะแนน/ ปี)</t>
    </r>
  </si>
  <si>
    <r>
      <t>U-KPI 4-2(2)B</t>
    </r>
    <r>
      <rPr>
        <sz val="14"/>
        <rFont val="Chulabhorn Likit Text Light"/>
        <charset val="134"/>
      </rPr>
      <t xml:space="preserve"> ระดับความพึงพอใจผู้ใช้งานต่อ Smart Classroom ทั้งอาจารย์และนักศึกษา (มากกว่าหรือเท่ากับ 3.5 จากคะแนนเต็ม 5)  (หน่วย: ระดับคะแนน/ ปี)</t>
    </r>
  </si>
  <si>
    <r>
      <t>U-KPI 4-2(3)C</t>
    </r>
    <r>
      <rPr>
        <sz val="14"/>
        <rFont val="Chulabhorn Likit Text Light"/>
        <charset val="134"/>
      </rPr>
      <t xml:space="preserve"> ระดับความพึงพอใจผู้ใช้งานห้องสมุด และระบบสนับสนุนของผู้มาใช้งาน (มากกว่าหรือเท่ากับ 3.5 จากคะแนนเต็ม 5) (หน่วย: ระดับคะแนน/ ปี)</t>
    </r>
  </si>
  <si>
    <t>S4-1 (15.3)
S1-4</t>
  </si>
  <si>
    <t>KR-OP 4-1</t>
  </si>
  <si>
    <t xml:space="preserve">P 4-2(2) โครงการพัฒนาสื่อการเรียนการสอนคุณภาพสูง โดยอาศัยระบบสตูดิโอเสมือน
วัตถุประสงค์: 
1. ยกระดับคุณภาพการพัฒนาสื่อการเรียนการสอนภายใน รองรับการเรียนออนไลน์ โดยใช้ระบบสตูดิโอเสมือนร่วมกับการสร้างภาพ 3 มิติ
2. เพื่อสร้างคลังสื่อการเรียนการสอนในรูปแบบวิดีโอ รองรับการเรียนการสอนแบบออนไลน์ หรือเป็นคลังความรู้เพิ่มเติมให้นักศึกษาสามารถเข้ามาเรียนเพิ่มเติมได้ </t>
  </si>
  <si>
    <r>
      <t>สูตรในการคำนวณตัวชี้วัด</t>
    </r>
    <r>
      <rPr>
        <sz val="14"/>
        <rFont val="Chulabhorn Likit Text Light"/>
        <charset val="134"/>
      </rPr>
      <t xml:space="preserve">
การเก็บรวบรวมจำนวนสื่อที่ตอบสนองโครงการ MOOC ซึ่งเป็นรายวิชาในหลักสูตรใหม่ทุกระดับชั้น หรือเป็นหลักสูตรระยะสั้น และ Credit Bank บูรณาการ </t>
    </r>
  </si>
  <si>
    <r>
      <t>S-KPI 4-2(2)</t>
    </r>
    <r>
      <rPr>
        <sz val="14"/>
        <rFont val="Chulabhorn Likit Text Light"/>
        <charset val="134"/>
      </rPr>
      <t xml:space="preserve"> จำนวนสื่อการเรียนการสอนที่ผลิตจากห้องสตูดิโอ (โซน 8B) ที่ตอบสนองต่อหลักสูตรตรี</t>
    </r>
    <r>
      <rPr>
        <sz val="14"/>
        <rFont val="Arial"/>
        <charset val="134"/>
      </rPr>
      <t></t>
    </r>
    <r>
      <rPr>
        <sz val="14"/>
        <rFont val="Chulabhorn Likit Text Light"/>
        <charset val="134"/>
      </rPr>
      <t xml:space="preserve"> โท เอก ระยะสั้น และ Credit Bank บูรณาการ Flexible Time Fixed Competency ด้าน HC เรียนรู้ Anytime Anywhere ท่ามกลางการทำงานตามความต้องการของสังคมและประเทศชาติ (หน่วย: จำนวนสื่อ/ปี)</t>
    </r>
  </si>
  <si>
    <r>
      <t>U-KPI 4-2(2)A</t>
    </r>
    <r>
      <rPr>
        <sz val="14"/>
        <rFont val="Chulabhorn Likit Text Light"/>
        <charset val="134"/>
      </rPr>
      <t xml:space="preserve"> จำนวนสื่อการเรียนการสอนที่ผลิตจากห้องสตูดิโอ (โซน 8B) (หน่วย: จำนวนสื่อ/ปี)</t>
    </r>
  </si>
  <si>
    <r>
      <t>U-KPI 4-2(2)B</t>
    </r>
    <r>
      <rPr>
        <sz val="14"/>
        <rFont val="Chulabhorn Likit Text Light"/>
        <charset val="134"/>
      </rPr>
      <t xml:space="preserve"> ระดับความพึงพอใจผู้ใช้งานห้องสตูดิโอ และระบบสตูดิโอเสมือน (มากกว่าหรือเท่ากับ 3.5 จากคะแนนเต็ม 5) (หน่วย: ระดับคะแนน/ ปี)</t>
    </r>
  </si>
  <si>
    <t xml:space="preserve"> -</t>
  </si>
  <si>
    <t>SM 4-3 ส่งเสริมการใช้ระบบ Paperless Office และ Green Office เพื่อลดการใช้ทรัพยากร</t>
  </si>
  <si>
    <t>S5-5</t>
  </si>
  <si>
    <t>KR-OC-4-2
KR-OP 4-3</t>
  </si>
  <si>
    <r>
      <t xml:space="preserve">P 4-3(1) โครงการส่งเสริมการปฏิบัติสู่สำนักงานสีเขียว (Green Office)
</t>
    </r>
    <r>
      <rPr>
        <sz val="12"/>
        <rFont val="Chulabhorn Likit Text Light"/>
        <charset val="134"/>
      </rPr>
      <t xml:space="preserve"> - กำหนดนโยบายสิ่งแวดล้อม
 - จัดตั้งคณะทำงานด้านสิ่งแวดล้อม
 - ระบุประเด็นปัญหาทรัพยากร และสิ่งแวดล้อม
 - กฎหมายและข้อกำหนดอื่นๆ ที่เกี่ยวข้อง
 - ข้อมูลก๊าซเรือนกระจก
 - จัดสภาพแวดล้อมและความปลอดภัย อากาศ แสงเสียง ความน่าอยู่ ในสำนักงาน  
 - การสื่อสารและสร้างจิตสำนึก โดย การรณรงค์และประชาสัมพันธ์แก่บุคลากรคณะ และจัดอบรมให้ความรู้และประเมินความเข้าใจ
 - การตรวจประเมินสำนักงานสีเขียวภายในสำนักงาน
 - การทบทวนฝ่ายบริหาร
 - จัดทำแผนงานโครงการที่นำไปสู่การปรับปรุงอย่างต่อเนื่อง 
 - แผนการเตรียมพร้อมต่อสภาวะฉุกเฉิน
 - จัดทำฐานข้อมูลการใช้น้ำ
การใช้พลังงาน การใช้ทรัพยากรอื่น ๆ การจัดการของเสีย
 - การจัดซื้อและจัดจ้างที่เป็นมิตรกับสิ่งแวดล้อม
 - เก็บข้อมูลในฐานข้อมูลการเบิกพัสดุ</t>
    </r>
  </si>
  <si>
    <t>1. ผู้ช่วยคณบดีฝ่ายบริหารสารสนเทศและเทคโนโลยีดิจิทัล 
2. คณะกรรมการอาคารสถานที่
3. หัวหน้าสำนักงานคณบดี</t>
  </si>
  <si>
    <t xml:space="preserve"> ระดับที่ 1 = มีการกำหนดนโยบาย จัดตั้งคณะทำงาน ระบุประเด็นปัญหา และจัดทำโครงการ Green Office Implementation
 ระดับที่ 2 = ดำเนินโครงการ ประชาสัมพันธ์และจัดการอบรมบุคลากรและประเมินความเข้าใจ จัดทำฐานข้อมูลก๊าซเรือนกระจก  จัดซื้อและจัดจ้างที่เป็นมิตรกับสิ่งแวดล้อม
 ระดับที่ 3 = จัดสภาพแวดล้อมและความปลอดภัย อากาศ แสงเสียง ความน่าอยู่ ในสำนักงาน จัดทำฐานข้อมูลการใช้น้ำ การใช้พลังงาน การใช้ทรัพยากรอื่น ๆ การจัดการของเสีย ดำเนินการตรวจประเมินสำนักงานสีเขียวภายในสำนักงาน
 ระดับที่ 4 = ทบทวนการดำเนินการโดยฝ่ายบริหาร จัดทำแผนงานโครงการที่นำไปสู่การปรับปรุงอย่างต่อเนื่อง แผนการเตรียมพร้อมต่อสภาวะฉุกเฉิน 
 ระดับที่ 5 = ขอรับการตรวจประเมินสำนักงานสีเขียว และติดตามผลดำเนินการ ผ่านเกณฑ์และได้รับการรับรอง Green Office</t>
  </si>
  <si>
    <r>
      <t>S-KPI 4-3(1)</t>
    </r>
    <r>
      <rPr>
        <sz val="14"/>
        <rFont val="Chulabhorn Likit Text Light"/>
        <charset val="134"/>
      </rPr>
      <t xml:space="preserve"> ระดับความสำเร็จของการยื่นขอ Green Office (หน่วย: คะแนน/ ปี)</t>
    </r>
  </si>
  <si>
    <t>1.  งานเลขานุการคณบดี สารบรรณ การบริหารเครือข่าย วิเทศสัมพันธ์ และกิจกรรมพิเศษ
2. งานยุทธศาสตร์ งบประมาณ การเงิน และพัสดุ
3. งานเทคโนโลยีสารสนเทศ โสตทัศนูปกรณ์ ห้องสมุดและอาคารสถานที่</t>
  </si>
  <si>
    <t>KR-OP 4-3</t>
  </si>
  <si>
    <t>P 4-3(2) รณรงค์บุคลากรเข้าร่วมกิจกรรมของราชคณะจุฬาภรณ์ เช่น CRA Zero Waste:  ตลาดนัดขยะรีไซเคิล หรือ การประหยัดน้ำและประหยัดพลังงานของสำนักงานราชคณะจุฬาภรณ์ เป็นต้น</t>
  </si>
  <si>
    <t>2. งานบริการวิชาการและสังคมฯ</t>
  </si>
  <si>
    <r>
      <t>เกณฑ์การประเมิน:</t>
    </r>
    <r>
      <rPr>
        <sz val="14"/>
        <rFont val="Chulabhorn Likit Text Light"/>
        <charset val="134"/>
      </rPr>
      <t xml:space="preserve">
ปริมาณที่ลดการปล่อยคาร์บอนไดออกไซด์สะสม (จาก Waste Buy Delivery App หรือแอปพลิเคชั่นอื่นๆ ที่เกี่ยวข้อง)</t>
    </r>
  </si>
  <si>
    <r>
      <t>S-KPI 4-3(2)</t>
    </r>
    <r>
      <rPr>
        <sz val="14"/>
        <rFont val="Chulabhorn Likit Text Light"/>
        <charset val="134"/>
      </rPr>
      <t xml:space="preserve"> ปริมาณที่ลดการปล่อยคาร์บอนไดออกไซด์สะสม (หน่วย: KgCO2e/ปี)</t>
    </r>
  </si>
  <si>
    <t>P 4-3(3) โครงการ Paperless Office</t>
  </si>
  <si>
    <t>3. งานเลขานุการคณบดี สารบรรณ การบริหารเครือข่าย วิเทศสัมพันธ์ และกิจกรรมพิเศษ</t>
  </si>
  <si>
    <r>
      <t>เกณฑ์การประเมิน:</t>
    </r>
    <r>
      <rPr>
        <sz val="14"/>
        <rFont val="Chulabhorn Likit Text Light"/>
        <charset val="134"/>
      </rPr>
      <t xml:space="preserve">
จำนวนระบบงานตามโครงสร้าง =  13 ระบบงาน
ปี 2568 Paperless 4 งาน 
ปี 2569 Paperless 6 งาน 
ปี 2570 Paperless 10 งาน
เปรียบเทียบกับสถิติปริมาณเบิกกระดาษ Based line ย้อนหลัง 3 ปี (2565-2567) </t>
    </r>
  </si>
  <si>
    <r>
      <t>U-KPI 4-3(3)A</t>
    </r>
    <r>
      <rPr>
        <sz val="14"/>
        <rFont val="Chulabhorn Likit Text Light"/>
        <charset val="134"/>
      </rPr>
      <t xml:space="preserve"> ร้อยละของระบบงานของสำนักงานคณบดีที่ดำเนินการสำเร็จตามนโยบาย Paperless Office (หน่วย: ร้อยละ/ปี)</t>
    </r>
    <r>
      <rPr>
        <b/>
        <u/>
        <sz val="14"/>
        <rFont val="Chulabhorn Likit Text Light"/>
        <charset val="134"/>
      </rPr>
      <t xml:space="preserve">
</t>
    </r>
  </si>
  <si>
    <t>4. งานยุทธศาสตร์ งบประมาณ การเงิน และพัสดุ</t>
  </si>
  <si>
    <t>อัตราการลดลงของการเบิกกระดาษต่อปี = (ปริมาณการใช้กระดาษก่อน-ปริมาณการใช้กระดาษหลัง)/ ปริมาณการใช้กระดาษก่อน 
​</t>
  </si>
  <si>
    <r>
      <t>U-KPI 4-3(3)B</t>
    </r>
    <r>
      <rPr>
        <sz val="14"/>
        <rFont val="Chulabhorn Likit Text Light"/>
        <charset val="134"/>
      </rPr>
      <t xml:space="preserve"> ร้อยละของการเบิกกระดาษของสำนักงานลดลงมากกว่าร้อยละ 30 ภายในปี 2570 (หน่วย: ร้อยละ/ปี)</t>
    </r>
  </si>
  <si>
    <t>SP 4(2): Human Excellence</t>
  </si>
  <si>
    <t>SM 4-4 KM Credit &amp; Best Practices มุ่งสู่การเป็นองค์กรแห่งการเรียนรู้ (Learning Organization)</t>
  </si>
  <si>
    <t>KR-OP 4-4</t>
  </si>
  <si>
    <t>P 4-4(1) โครงการพัฒนาระบบการจัดการความรู้ของบุคลากรรายบุคคล</t>
  </si>
  <si>
    <r>
      <t>นิยามความสำเร็จ</t>
    </r>
    <r>
      <rPr>
        <sz val="14"/>
        <rFont val="Chulabhorn Likit Text Light"/>
        <charset val="134"/>
      </rPr>
      <t xml:space="preserve">
ดำเนินการพัฒนาระบบที่เกี่ยวข้องกับการจัดการองค์ความรู้ (Knowledge Management: KM) ให้บรรลุเป้าหมายที่กำหนดไว้ในแผนงานหรือโครงการ โดยพิจารณาจาก
1. การพัฒนาและติดตั้งระบบ ระบบ KM Credit ถูกออกแบบและติดตั้งพร้อมใช้งาน
2. มีผู้ใช้งานระบบในระดับที่สอดคล้องกับเป้าหมายที่ตั้งไว้
3. ระบบช่วยส่งเสริมการจัดการความรู้ เช่น การเพิ่มประสิทธิภาพในการจัดการข้อมูล หรือการเพิ่มจำนวนองค์ความรู้ที่ได้รับการจัดการ
4. คะแนนความพึงพอใจของผู้ใช้งานระบบตามแบบประเมินที่กำหนด
</t>
    </r>
    <r>
      <rPr>
        <u/>
        <sz val="14"/>
        <rFont val="Chulabhorn Likit Text Light"/>
        <charset val="134"/>
      </rPr>
      <t>โดยกำหนดเกณฑ์การวัด ดังนี้:</t>
    </r>
    <r>
      <rPr>
        <sz val="14"/>
        <rFont val="Chulabhorn Likit Text Light"/>
        <charset val="134"/>
      </rPr>
      <t xml:space="preserve">
100%: บรรลุเป้าหมายทุกข้อในนิยาม
80%: บรรลุเป้าหมายส่วนใหญ่ แต่ยังไม่ครบถ้วน
50%: มีการพัฒนาไปแล้วในระดับหนึ่ง แต่ยังต้องการการปรับปรุงเพิ่มเติม
25%: มีการดำเนินการเบื้องต้น แต่ยังไม่ถึงเป้าหมายที่วางไว้
10%: ดำเนินการแล้วแต่ยังไม่มีความก้าวหน้าในการพัฒนาระบบ</t>
    </r>
  </si>
  <si>
    <r>
      <t>S-KPI 4-4(1)</t>
    </r>
    <r>
      <rPr>
        <b/>
        <sz val="14"/>
        <rFont val="Chulabhorn Likit Text Light"/>
        <charset val="134"/>
      </rPr>
      <t xml:space="preserve"> </t>
    </r>
    <r>
      <rPr>
        <sz val="14"/>
        <rFont val="Chulabhorn Likit Text Light"/>
        <charset val="134"/>
      </rPr>
      <t xml:space="preserve"> ร้อยละความสำเร็จของการพัฒนาระบบ KM Credit (หน่วย: ร้อยละ/ปี) 
</t>
    </r>
  </si>
  <si>
    <t>1. งานทรัพยากรบุคคลและการจัดการความรู้
2. งานเทคโนโลยีสารสนเทศ โสตทัศนูปกรณ์ ห้องสมุดและอาคารสถานที่</t>
  </si>
  <si>
    <t>ร้อยละของบุคลากรที่เข้าใช้งานระบบ KM Credit = (จำนวนบุคลากรที่เข้าใช้งานระบบ KM Credit/จำนวนบุคลากรทั้งหมด) x 100</t>
  </si>
  <si>
    <r>
      <t>U-KPI 4-4(1)A</t>
    </r>
    <r>
      <rPr>
        <sz val="14"/>
        <rFont val="Chulabhorn Likit Text Light"/>
        <charset val="134"/>
      </rPr>
      <t xml:space="preserve"> ร้อยละของบุคลากรที่เข้าใช้งานระบบ KM Credit (หน่วย: ร้อยละ/ปี)</t>
    </r>
  </si>
  <si>
    <r>
      <t>U-KPI 4-4(1)B</t>
    </r>
    <r>
      <rPr>
        <sz val="14"/>
        <rFont val="Chulabhorn Likit Text Light"/>
        <charset val="134"/>
      </rPr>
      <t xml:space="preserve"> ร้อยละความพึงพอใจการใช้ระบบ KM Credit ของบุคลากรที่ (หน่วย: ร้อยละ/ปี)</t>
    </r>
  </si>
  <si>
    <t>KR-OP 4-5</t>
  </si>
  <si>
    <t>P 4-4(2) โครงการพัฒนาศักยภาพบุคลากร Competency ตาม Core Value รจภ. (CRA TEAM) 
C: Collaboration ร่วมมือช่วยเหลือกัน ไม่แบ่งฝ่าย ไม่เกี่ยงงาน
R: Respect for people เคารพให้เกียรติผู้อื่น
A: Altruism เห็นประโยชน์ส่วนรวมเป็นสำคัญ
T: Teamwork ทำงานเป็นทีม มีความสามัคคี
E: Excellence in patient &amp; social services มุ่งสู่ความเป็นเลิศเพื่อผู้ป่วยและการบริการสังคม
A: Achivement, agility &amp; data driven ทำงานเน้นความสำเร็จและความคล่องตัว ยืดหยุ่น โดยการขับเคลื่อนด้วยข้อมูล
Morality, Ethics &amp; Transparency มีคุณธรรม จริยธรรม และความโปร่งใส</t>
  </si>
  <si>
    <r>
      <t>เกณฑ์การประเมิน:</t>
    </r>
    <r>
      <rPr>
        <sz val="14"/>
        <rFont val="Chulabhorn Likit Text Light"/>
        <charset val="134"/>
      </rPr>
      <t xml:space="preserve">
ร้อยละ 30: มีเกณฑ์การประเมิน หรือ มีรูปแบบการประเมิน Competency ตาม Core Value รจภ. (CRA TEAM) ชัดเจนและสอดคล้องกับรจภ.
ร้อยละ 50: มีฐานข้อมูลการประเมิน Competency ตาม Core Value รจภ. (CRA TEAM) 
ร้อยละ 70: มีโครงการพัฒนาศักยภาพ Competency ตาม Core Value รจภ. (CRA TEAM) 
ร้อยละ 100: มีคะแนนการประเมิน Competency ตาม Core Value รจภ. ของบุคลกรคณะฯ ครบทั้ง 7 ด้าน และมีระดับคะแนนมากกว่าร้อยละ 80 คิดเป็นร้อยละ 80 ของบุคลากรคณะทั้งหมด</t>
    </r>
  </si>
  <si>
    <r>
      <t>U-KPI 4-4(2)A</t>
    </r>
    <r>
      <rPr>
        <sz val="14"/>
        <rFont val="Chulabhorn Likit Text Light"/>
        <charset val="134"/>
      </rPr>
      <t xml:space="preserve"> ร้อยละความสำเร็จของการพัฒนาระบบประเมิน Competency ของบุคลากรสังกัดคณะแพทยศาสตร์ศรีสวางควัฒน ตาม Core Value รจภ. (CRA TEAM)(หน่วย: ร้อยละ/ปี)</t>
    </r>
  </si>
  <si>
    <t>สูตรการคำนวณ: = [จำนวนบุคลากรที่ผ่านเกณฑ์ (≥80 คะแนน)]/ จำนวนบุคลากรทั้งหมด x 100</t>
  </si>
  <si>
    <r>
      <t>U-KPI 4-4(2)B</t>
    </r>
    <r>
      <rPr>
        <sz val="14"/>
        <rFont val="Chulabhorn Likit Text Light"/>
        <charset val="134"/>
      </rPr>
      <t xml:space="preserve"> ร้อยละของบุคลากรที่เข้ารับการประเมิน Digital Literacy โดยรจภ. และมีระดับ 80 คะแนนขึ้นไป (หน่วย: ร้อยละ/ปี)</t>
    </r>
  </si>
  <si>
    <t>SM 4-5 สนับสนุนการพัฒนาบุคลากรด้วย Gen AI เพื่อสร้างเครื่องมือที่ทันสมัยสำหรับการสอนและประเมินผล</t>
  </si>
  <si>
    <t xml:space="preserve">S4-2. (16.3.2)
</t>
  </si>
  <si>
    <t>P 4-5(1) โครงการประยุกต์ใช้ปัญญาประดิษฐ์เชิงสร้างสรรค์เพื่อการบริหารจัดการเรียนการสอน
วัตถุประสงค์:
พัฒนาระบบสนับสนุนการออกแบบรายวิชาด้วย GenAI
สร้างเครื่องมือช่วยประเมินผลการเรียนรู้</t>
  </si>
  <si>
    <t>อ.ดร.ทศพร เฟื่องรอด (คณะกรรมการเทคโนโลยีสารสนเทศ)</t>
  </si>
  <si>
    <t>1. งานเทคโนโลยีสารสนเทศ โสตทัศนูปกรณ์ ห้องสมุดและอาคารสถานที</t>
  </si>
  <si>
    <t xml:space="preserve"> - ประยุกต์ใช้ GenAI ในการออกแบบรายวิชา
 - ประยุกต์ใช้ GenAI ในการประเมินผลการเรียนรู้
- นำร่องการใช้ GenAI ในการบริหารการเรียนการสอน
- รายงานผลการประยุกต์ใช้ GenAI และพัฒนาแนวทางการนำไปใช้ในรายวิชาอื่นๆ ภายในคณะฯ</t>
  </si>
  <si>
    <r>
      <t>S-KPI 4-5(1)</t>
    </r>
    <r>
      <rPr>
        <sz val="14"/>
        <rFont val="Chulabhorn Likit Text Light"/>
        <charset val="134"/>
      </rPr>
      <t xml:space="preserve"> จำนวนรายวิชาต้นแบบที่มีการใช้ GenAI ในการออกแบบและประเมินรายวิชา (หน่วย: จำนวนรายวิชา / ปี)</t>
    </r>
  </si>
  <si>
    <t>SM 4-6 มีระบบ Career path ที่ชัดเจนสำหรับบุคลากรสายสนับสนุนและสายวิชาการ</t>
  </si>
  <si>
    <t xml:space="preserve">S5-3
</t>
  </si>
  <si>
    <t xml:space="preserve">P 4-6(1) วางนโยบายความก้าวหน้าทางสายงาน
 - ผลักดันแผนความก้าวหน้าทางสายงาน
</t>
  </si>
  <si>
    <t>ระดับความผูกพันในระดับที่สูงและสูงมากของบุคลากรผู้ตอบแบบสอบถามทั้งหมดในองค์กร (วัดพร้อมกันทั้ง CRA)</t>
  </si>
  <si>
    <r>
      <t>S-KPI 4-6(1)</t>
    </r>
    <r>
      <rPr>
        <b/>
        <sz val="14"/>
        <rFont val="Chulabhorn Likit Text Light"/>
        <charset val="134"/>
      </rPr>
      <t xml:space="preserve"> </t>
    </r>
    <r>
      <rPr>
        <sz val="14"/>
        <rFont val="Chulabhorn Likit Text Light"/>
        <charset val="134"/>
      </rPr>
      <t>ร้อยละของระดับความผูกพันของบุคลากรในองค์กร (Employee Engagement) (หน่วย: ร้อยละ/ปี)</t>
    </r>
  </si>
  <si>
    <t xml:space="preserve">S5-6
</t>
  </si>
  <si>
    <t>KR-OP 4-6</t>
  </si>
  <si>
    <t>P 4-6(2)  จัดทำระบบติดตามการขอตำแหน่งทางวิชาการ และระบบพัฒนาบุคลากรสายสนับสนุน/ แผน IDP
 - จัดทำระบบการประเมินผลปฏิบัติงานตามผลลัพธ์ของงาน</t>
  </si>
  <si>
    <r>
      <t>เกณฑ์การประเมิน:</t>
    </r>
    <r>
      <rPr>
        <sz val="14"/>
        <rFont val="Chulabhorn Likit Text Light"/>
        <charset val="134"/>
      </rPr>
      <t xml:space="preserve">
นับจำนวนบุคลากรระดับบังคับบัญชาที่ได้รับการพัฒนาศักยภาพด้านการบริหารจัดการที่รองรับการปรับโครงสร้างองค์กรหารจำนวนบุคลากรระดับบังคับบัญชาทั้งหมดคูณ 100</t>
    </r>
  </si>
  <si>
    <r>
      <t>S-KPI 4-6(2)A</t>
    </r>
    <r>
      <rPr>
        <b/>
        <sz val="14"/>
        <rFont val="Chulabhorn Likit Text Light"/>
        <charset val="134"/>
      </rPr>
      <t xml:space="preserve"> </t>
    </r>
    <r>
      <rPr>
        <sz val="14"/>
        <rFont val="Chulabhorn Likit Text Light"/>
        <charset val="134"/>
      </rPr>
      <t xml:space="preserve">ร้อยละของบุคลากรระดับบังคับบัญชาที่ได้รับการพัฒนาศักยภาพด้านการบริหารจัดการที่รองรับการปรับโครงสร้างองค์กร (หน่วย: ร้อยละ/ปี) </t>
    </r>
  </si>
  <si>
    <r>
      <t>สมรรถนะการบริหารงานทั่วไป (General Competency-Level 1)</t>
    </r>
    <r>
      <rPr>
        <sz val="14"/>
        <rFont val="Chulabhorn Likit Text Light"/>
        <charset val="134"/>
      </rPr>
      <t xml:space="preserve"> ได้แก่ 
1. การเขียนโครงการ
2. การเขียนหนังสือราชการ
3. การใช้ระบบสารบรรณอิเล็กทรอนิกส์
4. การจัดทำคำของบประมาณประจำปี
5. การขออนุมัติจัดซื้อจัดจ้าง
6. การสื่อสารและประสานงานเพื่อผลลัพธ์ที่ดี
7. การทำงานเป็นทีม</t>
    </r>
    <r>
      <rPr>
        <u/>
        <sz val="14"/>
        <rFont val="Chulabhorn Likit Text Light"/>
        <charset val="134"/>
      </rPr>
      <t xml:space="preserve">
</t>
    </r>
    <r>
      <rPr>
        <b/>
        <u/>
        <sz val="14"/>
        <rFont val="Chulabhorn Likit Text Light"/>
        <charset val="134"/>
      </rPr>
      <t>เกณฑ์การประเมิน:</t>
    </r>
    <r>
      <rPr>
        <sz val="14"/>
        <rFont val="Chulabhorn Likit Text Light"/>
        <charset val="134"/>
      </rPr>
      <t xml:space="preserve">
นับจำนวนบุคลากรระดับปฏิบัติการที่ได้รับการพัฒนาศักยภาพด้านสมรรถนะทั่วไป (General Competency-Level 1)หาร จำนวนบุคลากรระดับปฏิบัติการทั้งหมดคูณ 100</t>
    </r>
  </si>
  <si>
    <r>
      <t>S-KPI 4-6(2)B</t>
    </r>
    <r>
      <rPr>
        <b/>
        <sz val="14"/>
        <rFont val="Chulabhorn Likit Text Light"/>
        <charset val="134"/>
      </rPr>
      <t xml:space="preserve"> </t>
    </r>
    <r>
      <rPr>
        <sz val="14"/>
        <rFont val="Chulabhorn Likit Text Light"/>
        <charset val="134"/>
      </rPr>
      <t xml:space="preserve">ร้อยละของบุคลากรสายสนับสนุนระดับปฏิบัติการที่ได้รับการพัฒนาศักยภาพด้านสมรรถนะทั่วไป (General Competency-Level 1) (หน่วย: ร้อยละ/ปี) </t>
    </r>
  </si>
  <si>
    <t>SM 4-7 พัฒนาระบบกำลังคนด้านการวิจัยที่สนับสนุนทิศทางการวิจัยของคณะแพทยศาสตร์ฯ</t>
  </si>
  <si>
    <t>P 4-7(1) โครงการพัฒนา Competency ด้านการวิจัยและการบริหารจัดการโครงการวิจัย</t>
  </si>
  <si>
    <t>1. ผู้ช่วยคณบดีฝ่ายบริหารและพัฒนาทรัพยากรมนุษย์
(คณะกรรมการ HR)
2. หัวหน้าสำนักวิชาการ</t>
  </si>
  <si>
    <t xml:space="preserve">1. งานทรัพยากรบุคคลและการจัดการความรู้
</t>
  </si>
  <si>
    <r>
      <t>สูตรในการคํานวณตัวชี้วัด</t>
    </r>
    <r>
      <rPr>
        <sz val="14"/>
        <rFont val="Chulabhorn Likit Text Light"/>
        <charset val="134"/>
      </rPr>
      <t xml:space="preserve"> นับจํานวนอาจารย์ทั้งหมดที่ได้รับการรอบรม Competency ด้านการวิจัยและการบริหารจัดการโครงการวิจัย หารด้วยจํานวนอาจารย์ทั้งหมดของคณะในเวลานั้น คูณ 100</t>
    </r>
  </si>
  <si>
    <r>
      <t>S-KPI 4-7(1)</t>
    </r>
    <r>
      <rPr>
        <sz val="14"/>
        <rFont val="Chulabhorn Likit Text Light"/>
        <charset val="134"/>
      </rPr>
      <t xml:space="preserve"> ร้อยละของอาจารย์ที่ผ่านการอบรม Competency ด้านการวิจัยและการบริหารจัดการโครงการวิจัย ในทุกระดับ  (หน่วย: ร้อยละ/ปี)</t>
    </r>
  </si>
  <si>
    <t>1. งานทรัพยากรบุคคลและการจัดการความรู้
2. หัวหน้าสำนักวิชาการ</t>
  </si>
  <si>
    <r>
      <t>สูตรในการคํานวณตัวชี้วัด</t>
    </r>
    <r>
      <rPr>
        <sz val="14"/>
        <rFont val="Chulabhorn Likit Text Light"/>
        <charset val="134"/>
      </rPr>
      <t xml:space="preserve"> นับจํานวนอาจารย์ระดับผู้บริหารที่ได้รับการรอบรม Competency ด้านการวิจัยและการบริหารจัดการโครงการวิจัย หารด้วยจํานวนอาจารย์ระดับผู้บริหารทั้งหมดของคณะในเวลานั้น คูณ 100</t>
    </r>
  </si>
  <si>
    <r>
      <t>U-KPI 4-7(1)A</t>
    </r>
    <r>
      <rPr>
        <sz val="14"/>
        <rFont val="Chulabhorn Likit Text Light"/>
        <charset val="134"/>
      </rPr>
      <t xml:space="preserve"> ร้อยละของอาจารย์ที่ผ่านการอบรม Competency ในระดับผู้บริหาร  (หน่วย: ร้อยละ/ปี)</t>
    </r>
  </si>
  <si>
    <r>
      <t>สูตรในการคํานวณตัวชี้วัด</t>
    </r>
    <r>
      <rPr>
        <sz val="14"/>
        <rFont val="Chulabhorn Likit Text Light"/>
        <charset val="134"/>
      </rPr>
      <t xml:space="preserve"> นับจํานวนอาจารย์ผู้วิจัยรุ่นใหญ่ (อายุงานมากกว่า 5 ปีขึ้นไป) ที่ได้รับการรอบรม Competency ด้านการวิจัยและการบริหารจัดการโครงการวิจัย หารด้วยจํานวนอาจารย์อายุงานมากกว่า 5 ปีขึ้นไปทั้งหมดของคณะในเวลานั้น คูณ 100</t>
    </r>
  </si>
  <si>
    <r>
      <t>U-KPI 4-7(1)B</t>
    </r>
    <r>
      <rPr>
        <sz val="14"/>
        <rFont val="Chulabhorn Likit Text Light"/>
        <charset val="134"/>
      </rPr>
      <t xml:space="preserve"> ร้อยละของอาจารย์ที่ผ่านการอบรม Competency ในระดับผู้วิจัยรุ่นใหญ่  (หน่วย: ร้อยละ/ปี)</t>
    </r>
  </si>
  <si>
    <r>
      <t>สูตรในการคํานวณตัวชี้วัด</t>
    </r>
    <r>
      <rPr>
        <sz val="14"/>
        <rFont val="Chulabhorn Likit Text Light"/>
        <charset val="134"/>
      </rPr>
      <t xml:space="preserve"> นับจํานวนอาจารย์ผู้วิจัยรุ่นใหญ่ (อายุงาน 1-5 ปี) ที่ได้รับการรอบรม Competency ด้านการวิจัยและการบริหารจัดการโครงการวิจัย หารด้วยจํานวนอาจารย์อายุงาน 1-5 ปีทั้งหมดของคณะในเวลานั้น คูณ 100</t>
    </r>
  </si>
  <si>
    <r>
      <t>U-KPI 4-7(1)C</t>
    </r>
    <r>
      <rPr>
        <sz val="14"/>
        <rFont val="Chulabhorn Likit Text Light"/>
        <charset val="134"/>
      </rPr>
      <t xml:space="preserve"> ร้อยละของอาจารย์ที่ผ่านการอบรม Competency ในระดับผู้วิจัยรุ่นกลาง  (หน่วย: ร้อยละ/ปี)</t>
    </r>
  </si>
  <si>
    <r>
      <t>สูตรในการคํานวณตัวชี้วัด</t>
    </r>
    <r>
      <rPr>
        <sz val="14"/>
        <rFont val="Chulabhorn Likit Text Light"/>
        <charset val="134"/>
      </rPr>
      <t xml:space="preserve"> นับจํานวนอาจารย์ผู้วิจัยรุ่นใหญ่ (อายุงานน้อยกว่า 1 ปี) ที่ได้รับการรอบรม Competency ด้านการวิจัยและการบริหารจัดการโครงการวิจัย หารด้วยจํานวนอาจารย์อายุงานน้อยกว่า 1 ปีทั้งหมดของคณะในเวลานั้น คูณ 100</t>
    </r>
  </si>
  <si>
    <r>
      <t>U-KPI 4-7(1)D</t>
    </r>
    <r>
      <rPr>
        <sz val="14"/>
        <rFont val="Chulabhorn Likit Text Light"/>
        <charset val="134"/>
      </rPr>
      <t xml:space="preserve"> ร้อยละของอาจารย์ที่ผ่านการอบรม Competency ในระดับผู้วิจัยรุ่นใหม่  (หน่วย: ร้อยละ/ปี)</t>
    </r>
  </si>
  <si>
    <t>P 4-7(2) ส่งเสริมบุคลากรให้มีส่วนร่วมในการพัฒนา R2R</t>
  </si>
  <si>
    <t>1. ผู้ช่วยคณบดีฝ่ายวิจัยและวิเทศสัมพันธ์
(คณะกรรมการวิจัย)
2. หัวหน้าสำนักงานคณบดี
3. หัวหน้างานทุกงาน</t>
  </si>
  <si>
    <t>3. งานบริหารวิจัย นวัตกรรม และห้องปฏิบัติการวิจัย</t>
  </si>
  <si>
    <r>
      <t>สูตรการคำนวณ:</t>
    </r>
    <r>
      <rPr>
        <sz val="14"/>
        <rFont val="Chulabhorn Likit Text Light"/>
        <charset val="134"/>
      </rPr>
      <t xml:space="preserve">
จำนวนบุคลากรสายสนับสนุนที่มีส่วนร่วมของ R2R/จำนวนบุคลากรสายสนับสนุนทั้งหมด x 100</t>
    </r>
  </si>
  <si>
    <r>
      <t>U-KPI 4-7(2)</t>
    </r>
    <r>
      <rPr>
        <sz val="14"/>
        <rFont val="Chulabhorn Likit Text Light"/>
        <charset val="134"/>
      </rPr>
      <t xml:space="preserve"> ร้อยละของจำนวนบุคลากรสายสนับสนุนที่มีส่วนร่วมของ R2R  (หน่วย: ร้อยละ/ปี)</t>
    </r>
  </si>
  <si>
    <t>SP 4(3): Financial sustainability</t>
  </si>
  <si>
    <t>SM 4-8 สร้างช่องทางจัดหารายได้คณะฯ ที่หลากหลาย เพื่อสร้างความเสถียรภาพทางการเงินในระยะยาว</t>
  </si>
  <si>
    <t xml:space="preserve">S5-7
</t>
  </si>
  <si>
    <t>KR-OP 4-8</t>
  </si>
  <si>
    <t>P 4-8(1) โครงการพัฒนาศักยภาพด้านการเงิน</t>
  </si>
  <si>
    <t>1. คณบดีคณะแพทยศาสตร์ศรีสวางควัฒน</t>
  </si>
  <si>
    <t>1. งานยุทธศาสตร์ งบประมาณ การเงิน และพัสดุ</t>
  </si>
  <si>
    <t xml:space="preserve"> - จัดทำแผนปฏิบัติการทางด้านการเงินที่มีประสิทธิภาพ และมีตัวชี้วัดที่เหมาะสม
จัดตั้งกองทุนคณะแพทยศาสตร์ศรีสวางควัฒน เพื่อสนับสนุนการดำเนินโครงการวิจัย เนื่องจากในบางโครงการจำเป็นจะต้องมีค่าใช้จ่ายในการดำเนินโครงการวิจัยก่อนถึงจะได้รับเงินค่าตอบแทนในการวิจัยในงวดแรก (ผลงานแลกเงิน)
 - จัดทำ Resources Inventory เพื่อใช้ในการบริหารจัดการสินทรัพย์และนำสินทรัพย์ในการใช้หารายได้
 - ติดตามผลการเบิกจ่ายรายเดือน</t>
  </si>
  <si>
    <r>
      <t>S-KPI 4-8(1)</t>
    </r>
    <r>
      <rPr>
        <sz val="14"/>
        <rFont val="Chulabhorn Likit Text Light"/>
        <charset val="134"/>
      </rPr>
      <t xml:space="preserve"> ประสิทธิภาพการใช้จ่ายงบประมาณภาพรวม (หน่วย: ร้อยละ/ปี) </t>
    </r>
  </si>
  <si>
    <t xml:space="preserve">S5-4
</t>
  </si>
  <si>
    <t xml:space="preserve">KR-OP 4-7 </t>
  </si>
  <si>
    <t>P 4-8(2) โครงการจัดฝึกอบรมแบบ Online &amp; Onsite โดยการจัดฝึกอบรมระยะสั้น online / offline / hybrid (Reskill &amp; Upskill) โดยมุ่งเน้นอาศัยจุดแข็งของคณะฯ ด้านสหสาขาวิชาและสหสถาบันทั้งในและต่างประเทศ
 - การจัดหลักสูตรทางด้านวิชาการ สำหรับนักเรียนและประชาชนทั่วไป</t>
  </si>
  <si>
    <t>1. งานบริหารวิจัย นวัตกรรมและทรัพย์สินทางปัญญา</t>
  </si>
  <si>
    <t xml:space="preserve"> -ผลักดันการต่อยอดนวัตกรรม สู่การเป็นผลิตภัณฑ์เชิงพาณิชย์</t>
  </si>
  <si>
    <r>
      <t>U-KPI 4-8(2)A</t>
    </r>
    <r>
      <rPr>
        <sz val="14"/>
        <rFont val="Chulabhorn Likit Text Light"/>
        <charset val="134"/>
      </rPr>
      <t xml:space="preserve"> สัดส่วนรายได้ที่เพิ่มขึ้นจากทุกช่องทางอย่างน้อยร้อยละ 10 ต่อปี (หน่วย: ร้อยละ/ปี) (เน้นการจัดอบรมหรือระยะสั้น)</t>
    </r>
  </si>
  <si>
    <t>1. งานบริหารวิจัย นวัตกรรมและทรัพย์สินทางปัญญา
2. งานบริการวิชาการและสังคม
3. งานยุทธศาสตร์ งบประมาณ การเงิน และพัสดุ</t>
  </si>
  <si>
    <t>1. ผู้ช่วยคณบดีฝ่ายบริการวิชาการและสังคม (คณะกรรมการบริการวิชาการและสังคม)</t>
  </si>
  <si>
    <t>1. งานบริการวิชาการและสังคม</t>
  </si>
  <si>
    <t xml:space="preserve"> - จัดทำโครงการ งบประมาณ และกำหนดการ
 - รับสมัครผู้เข้าร่วมโครงการ และดำเนินการโครงการ
 - จัดทำฐานข้อมูลหลักสูตรระยะสั้น</t>
  </si>
  <si>
    <r>
      <t>U-KPI 4-8(2)B</t>
    </r>
    <r>
      <rPr>
        <sz val="14"/>
        <rFont val="Chulabhorn Likit Text Light"/>
        <charset val="134"/>
      </rPr>
      <t xml:space="preserve"> จำนวนโครงการวิจัย/บริการวิชาการ/*หลักสูตรระยะสั้น ที่เพิ่มขึ้นในแต่ละปี (หน่วย: โครงการ/ปี)</t>
    </r>
  </si>
  <si>
    <t>ยุทธศาสตร์ที่ 5</t>
  </si>
  <si>
    <t>Connecting with the world for international partnership
เชื่อมต่อกับโลก เพื่อความร่วมมือระดับสากล</t>
  </si>
  <si>
    <t>SP 5(1): การเชื่อมต่อโลกเพื่อความร่วมมือในระดับสากลในด้านการศึกษา การวิจัยและนวัตกรรม
Connecting the World for International Collaboration in Education, Research, and Innovation</t>
  </si>
  <si>
    <t>SM 5-1 การแลกเปลี่ยนนักศึกษาร่วมกับมหาคณะพันธมิตรที่มีชื่อเสียงระดับโลก</t>
  </si>
  <si>
    <t>KR-OP 5-1</t>
  </si>
  <si>
    <t xml:space="preserve">P 5-1(1) โครงการแลกเปลี่ยนนักศึกษาร่วมกับมหาคณะพันธมิตรที่มีชื่อเสียงระดับโลก
</t>
  </si>
  <si>
    <t>1. งานแพทยศาสตรศึกษาและการศึกษาก่อนปริญญา
2. งานบัณฑิตศึกษา
3. งานเลขานุการคณบดี สารบรรณ การบริหารเครือข่าย วิเทศสัมพันธ์ และกิจกรรมพิเศษ</t>
  </si>
  <si>
    <r>
      <t>เกณฑ์การประเมิน:</t>
    </r>
    <r>
      <rPr>
        <sz val="14"/>
        <rFont val="Chulabhorn Likit Text Light"/>
        <charset val="134"/>
      </rPr>
      <t xml:space="preserve">
จำนวนนักศึกษาต่างชาติที่มาเรียนหรือมาแลกเปลี่ยนเพิ่มขึ้น/ จำนวนนักศึกษาทั้งหมด x 100
</t>
    </r>
  </si>
  <si>
    <r>
      <t>S-KPI 5-1(1)A</t>
    </r>
    <r>
      <rPr>
        <sz val="14"/>
        <rFont val="Chulabhorn Likit Text Light"/>
        <charset val="134"/>
      </rPr>
      <t xml:space="preserve"> ร้อยละของจำนวนนักศึกษาต่างชาติที่มาเรียนหรือมาแลกเปลี่ยนเพิ่มขึ้น (หน่วย: ร้อยละ/ปี)</t>
    </r>
  </si>
  <si>
    <t>≥15</t>
  </si>
  <si>
    <t>≥20</t>
  </si>
  <si>
    <t>≥30</t>
  </si>
  <si>
    <t xml:space="preserve">2. ผู้ช่วยคณบดีฝ่ายบริหารการศึกษา
</t>
  </si>
  <si>
    <t>1. งานเลขานุการคณบดี สารบรรณ การบริหารเครือข่าย วิเทศสัมพันธ์ และกิจกรรมพิเศษ
2. งานแพทยศาสตรศึกษาและการศึกษาก่อนปริญญา
3. งานบัณฑิตศึกษา
4. งานบริการการศึกษา วัด ประเมินผล และวิจัยการศึกษา</t>
  </si>
  <si>
    <t>เกณฑ์การประเมิน:
นับโครงการระดับนานาชาติ ที่มีนักศึกษาคณะหรือนักศึกษาต่างชาติเข้าร่วมกิจกรรม</t>
  </si>
  <si>
    <r>
      <t>U-KPI 5-1(1)A</t>
    </r>
    <r>
      <rPr>
        <sz val="14"/>
        <rFont val="Chulabhorn Likit Text Light"/>
        <charset val="134"/>
      </rPr>
      <t xml:space="preserve"> จำนวนโครงการที่มีนักศึกษาคณะหรือนักศึกษาต่างชาติเข้าร่วมกิจกรรมระดับนานาชาติ  (หน่วย: โครงการ/ปี)</t>
    </r>
  </si>
  <si>
    <t>≥5</t>
  </si>
  <si>
    <t>≥7</t>
  </si>
  <si>
    <t>≥10</t>
  </si>
  <si>
    <t>3. ผู้ช่วยคณบดีฝ่ายบัณฑิตศึกษาและการศึกษาหลังปริญญา</t>
  </si>
  <si>
    <t>1. งานเลขานุการคณบดี สารบรรณ การบริหารเครือข่าย วิเทศสัมพันธ์ และกิจกรรมพิเศษ
2. งานบัณฑิตศึกษา</t>
  </si>
  <si>
    <r>
      <t xml:space="preserve">ปี 2567: </t>
    </r>
    <r>
      <rPr>
        <sz val="14"/>
        <rFont val="Chulabhorn Likit Text Light"/>
        <charset val="134"/>
      </rPr>
      <t xml:space="preserve">
จำนวนนักศึกษา MPME
ปี 3 จำนวน 2 คน คงอยู่ 2 คน
ปี 2 จำนวน 1 คน คงอยู่ 1 คน
ปี 1 จำนวน - คน คงอยู่ - คน</t>
    </r>
  </si>
  <si>
    <r>
      <t xml:space="preserve">U-KPI 5-1(1)B </t>
    </r>
    <r>
      <rPr>
        <sz val="14"/>
        <rFont val="Chulabhorn Likit Text Light"/>
        <charset val="134"/>
      </rPr>
      <t>จำนวนนักศึกษาต่างชาติที่มาศึกษาในหลักสูตรของคณะ (หน่วย: คน/ปี)</t>
    </r>
  </si>
  <si>
    <t xml:space="preserve">≥ 3 </t>
  </si>
  <si>
    <r>
      <t>เกณฑ์การประเมิน:</t>
    </r>
    <r>
      <rPr>
        <sz val="14"/>
        <rFont val="Chulabhorn Likit Text Light"/>
        <charset val="134"/>
      </rPr>
      <t xml:space="preserve">
นับจำนวนนักศึกษาที่ฝึกงานหรือขอไปทำวิจัยต่างประเทศ</t>
    </r>
  </si>
  <si>
    <r>
      <t>S-KPI 5-1(1)B</t>
    </r>
    <r>
      <rPr>
        <sz val="14"/>
        <rFont val="Chulabhorn Likit Text Light"/>
        <charset val="134"/>
      </rPr>
      <t xml:space="preserve"> จำนวนนักศึกษาของคณะที่เข้าร่วมศึกษาแลกเปลี่ยนต่างๆ (หน่วย: คน/ปี)</t>
    </r>
  </si>
  <si>
    <t>≥3</t>
  </si>
  <si>
    <t>SM 5-2 แลกเปลี่ยนอาจารย์ร่วมกับมหาวิทยาลัยพันธมิตรที่มีชื่อเสียงระดับโลก</t>
  </si>
  <si>
    <t xml:space="preserve">KR-OP 5-2
KR-OP 5-3 </t>
  </si>
  <si>
    <t>P 5-2(1) โครงการทุนสนับสนุนการทำ Post Doctoral ของอาจารย์ในมหาคณะหรือองค์กรที่มีชื่อเสียงระดับโลก
 - โครงการวิจัยหรือกิจกรรมที่ร่วมกับมหาคณะหรือองค์กรที่มีชื่อเสียงระดับโลก</t>
  </si>
  <si>
    <t>1. งานเลขานุการคณบดี สารบรรณ การบริหารเครือข่าย วิเทศสัมพันธ์ และกิจกรรมพิเศษ</t>
  </si>
  <si>
    <t>เกณฑ์การประเมิน:
นับจำนวนเครือข่าย/กิจกรรม/ผลงานตีพิมพ์ ต่อปี ที่อาจารย์ที่ไปทำงานวิจัย Postdoc ณ มหาคณะที่มีชื่อเสียงระดับโลก ดำเนินการต่อเนื่องหลังการไปทำงานวิจัย Postdoc</t>
  </si>
  <si>
    <r>
      <t>S-KPI 5-2(1)</t>
    </r>
    <r>
      <rPr>
        <sz val="14"/>
        <rFont val="Chulabhorn Likit Text Light"/>
        <charset val="134"/>
      </rPr>
      <t xml:space="preserve"> จำนวนเครือข่ายและกิจกรรมความร่วมมือจากการทำงานวิจัยหลังจาก Postdoc ณ มหาคณะที่มีชื่อเสียงระดับโลก (หน่วย: เครือข่าย/กิจกรรม/ผลงานตีพิมพ์/ปี)</t>
    </r>
  </si>
  <si>
    <t>≥2</t>
  </si>
  <si>
    <t>1. งานเลขานุการคณบดี สารบรรณ การบริหารเครือข่าย วิเทศสัมพันธ์ และกิจกรรมพิเศษ
2. งานทรัพยากรบุคคลและการจัดการความรู้</t>
  </si>
  <si>
    <t>เกณฑ์การประเมิน:
นับจำนวนอาจารย์ ที่ไปทำงานวิจัย Postdoc ณ มหาคณะที่มีชื่อเสียงระดับโลก</t>
  </si>
  <si>
    <r>
      <t>U-KPI 5-2(1)</t>
    </r>
    <r>
      <rPr>
        <sz val="14"/>
        <rFont val="Chulabhorn Likit Text Light"/>
        <charset val="134"/>
      </rPr>
      <t xml:space="preserve"> จำนวนอาจารย์ ที่ไปทำงานวิจัย Postdoc ณ มหาคณะที่มีชื่อเสียงระดับโลก (หน่วย: คน/ปี) </t>
    </r>
  </si>
  <si>
    <t xml:space="preserve">KR-OP 5-2 </t>
  </si>
  <si>
    <t>P 5-2(2) การสนับสนุนด้านระเบียบการเบิกจ่ายค่าตอบแทน การดูแลและขั้นตอนการปฏิบัติงานของ Visiting Professor</t>
  </si>
  <si>
    <t>1. ผู้ช่วยคณบดีฝ่ายบริหารและพัฒนาทรัพยากรมนุษย์
(คณะกรรมการ HR
2. ผู้ช่วยคณบดีฝ่ายวิจัยและวิเทศสัมพันธ์</t>
  </si>
  <si>
    <t>1. งานเลขานุการคณบดี สารบรรณ การบริหารเครือข่าย วิเทศสัมพันธ์ และกิจกรรมพิเศษ
2. งานแพทยศาสตรศึกษาและการศึกษาก่อนปริญญา
3. งานบัณฑิตศึกษา
4. งานทรัพยากรบุคคลและการจัดการความรู้</t>
  </si>
  <si>
    <r>
      <t>เกณฑ์การประเมิน:</t>
    </r>
    <r>
      <rPr>
        <sz val="14"/>
        <rFont val="Chulabhorn Likit Text Light"/>
        <charset val="134"/>
      </rPr>
      <t xml:space="preserve">
นับจำนวนอาจารย์ Visiting Professor ที่กำหนดระยะเวลามาสอนอย่างน้อย 1 สัปดาห์</t>
    </r>
  </si>
  <si>
    <r>
      <t xml:space="preserve">S-KPI 5-2(2) </t>
    </r>
    <r>
      <rPr>
        <sz val="14"/>
        <rFont val="Chulabhorn Likit Text Light"/>
        <charset val="134"/>
      </rPr>
      <t xml:space="preserve">จำนวน Visiting Professor (หน่วย: คน/ปี) </t>
    </r>
  </si>
  <si>
    <r>
      <t>เกณฑ์การประเมิน:</t>
    </r>
    <r>
      <rPr>
        <sz val="14"/>
        <rFont val="Chulabhorn Likit Text Light"/>
        <charset val="134"/>
      </rPr>
      <t xml:space="preserve">
นับจำนวนอาจารย์ Special Lecture, Guest Speaker ที่ได้รับเชิญในหลักสูตรและกิจกรรมด้านการศึกษาของคณะ</t>
    </r>
  </si>
  <si>
    <r>
      <t>U-KPI 5-2(2)</t>
    </r>
    <r>
      <rPr>
        <sz val="14"/>
        <rFont val="Chulabhorn Likit Text Light"/>
        <charset val="134"/>
      </rPr>
      <t xml:space="preserve"> จำนวนอาจารย์หรือวิทยากรต่างชาติ (Special Lecture, Guest Speaker) ที่ได้รับเชิญในหลักสูตรและกิจกรรมด้านการศึกษาของคณะ (หน่วย: คน/ปี)</t>
    </r>
  </si>
  <si>
    <t xml:space="preserve">≥ 5 </t>
  </si>
  <si>
    <t>SP 5(2): สร้างความร่วมมือระดับนานาชาติกับสถาบันระดับโลก
Establishing International Collaboration with Global Institutions</t>
  </si>
  <si>
    <t>SM 5-3 สรรหาและสร้างเครือข่ายพันธมิตร และจัดกิจกรรมร่วมกับเครือข่ายพันธมิตรระดับชาติและนานาชาติ</t>
  </si>
  <si>
    <t>KR-OP 5-3</t>
  </si>
  <si>
    <t>P 5-3(1) สรรหาและสร้างเครือข่ายพันธมิตร และจัดกิจกรรม ร่วมกับเครือข่ายพันธมิตรระดับชาติและนานาชาติ</t>
  </si>
  <si>
    <r>
      <t>เกณฑ์การประเมิน:</t>
    </r>
    <r>
      <rPr>
        <sz val="14"/>
        <rFont val="Chulabhorn Likit Text Light"/>
        <charset val="134"/>
      </rPr>
      <t xml:space="preserve">
จำนวนเครือข่ายในต่างประเทศที่ลงนามบันทึกข้อตกลงความร่วมมือ และมีกิจกรรม (Active MOU) / จำนวนเครือข่ายในต่างประเทศที่มีการลงนามบันทึกข้อตกลงความร่วมมือ (MOU/MOA) ทั้งหมด x 100</t>
    </r>
  </si>
  <si>
    <r>
      <t>S-KPI 5-3(1)</t>
    </r>
    <r>
      <rPr>
        <sz val="14"/>
        <rFont val="Chulabhorn Likit Text Light"/>
        <charset val="134"/>
      </rPr>
      <t xml:space="preserve"> สัดส่วนของ Active MOU ต่อ MOU ทั้งหมด (หน่วย: ร้อยละ/ปี)</t>
    </r>
  </si>
  <si>
    <r>
      <t>U-KPI 5-3(1)A</t>
    </r>
    <r>
      <rPr>
        <sz val="14"/>
        <rFont val="Chulabhorn Likit Text Light"/>
        <charset val="134"/>
      </rPr>
      <t xml:space="preserve"> จำนวนเครือข่ายในต่างประเทศที่มีการลงนามบันทึกข้อตกลงความร่วมมือ (MOU/MOA) เพิ่มเติมรายใหม่ (หน่วย: แห่ง/ปี)</t>
    </r>
  </si>
  <si>
    <t>≥4</t>
  </si>
  <si>
    <r>
      <t>U-KPI 5-3(1)B</t>
    </r>
    <r>
      <rPr>
        <sz val="14"/>
        <rFont val="Chulabhorn Likit Text Light"/>
        <charset val="134"/>
      </rPr>
      <t xml:space="preserve"> จำนวนเครือข่ายในต่างประเทศที่มีการลงนามบันทึกข้อตกลงความร่วมมือ (MOU/MOA) ทั้งหมด (หน่วย: แห่ง/ปี)</t>
    </r>
  </si>
  <si>
    <t>≥12</t>
  </si>
  <si>
    <r>
      <t>U-KPI 5-3(1)C</t>
    </r>
    <r>
      <rPr>
        <sz val="14"/>
        <rFont val="Chulabhorn Likit Text Light"/>
        <charset val="134"/>
      </rPr>
      <t xml:space="preserve"> จำนวนเครือข่ายในต่างประเทศที่ลงนามบันทึกข้อตกลงความร่วมมือ และมีกิจกรรมในระดับชาติและนานาชาติ  (Active MOU) (หน่วย: แห่ง/ปี)</t>
    </r>
  </si>
  <si>
    <t>≥9</t>
  </si>
  <si>
    <t>SM 5-4 การสร้างความสัมพันธ์ในระดับสากล</t>
  </si>
  <si>
    <t>KR-OP 5-3 
KR-OP 5-4</t>
  </si>
  <si>
    <t>P 5-4(1) การจัดงานประชุมวิชาการระดับสากล</t>
  </si>
  <si>
    <t>1. งานเลขานุการคณบดี สารบรรณ การบริหารเครือข่าย วิเทศสัมพันธ์ และกิจกรรมพิเศษ
2. งานบริการวิชาการและสังคมฯ</t>
  </si>
  <si>
    <r>
      <t>เกณฑ์การประเมิน:</t>
    </r>
    <r>
      <rPr>
        <sz val="14"/>
        <rFont val="Chulabhorn Likit Text Light"/>
        <charset val="134"/>
      </rPr>
      <t xml:space="preserve">
จำนวนงานประชุมวิชาการนานาชาติ ที่มีวิทยากรต่างชาติและมีผู้เข้าร่วมต่างชาติ การบรรยายเป็นภาษาอังกฤษ</t>
    </r>
  </si>
  <si>
    <r>
      <t>S-KPI 5-4(1)</t>
    </r>
    <r>
      <rPr>
        <sz val="14"/>
        <rFont val="Chulabhorn Likit Text Light"/>
        <charset val="134"/>
      </rPr>
      <t xml:space="preserve"> จำนวนงานประชุมวิชาการนานาชาติ (หน่วย: ครั้ง/ปี)</t>
    </r>
  </si>
  <si>
    <t>SP 5(3): การเชื่อมต่อโลกด้วยระบบสารสนเทศ
Connecting the World through Information Systems</t>
  </si>
  <si>
    <t>SM 5-5 การพัฒนาระบบประชาสัมพันธ์</t>
  </si>
  <si>
    <t>KR-OP 5-4</t>
  </si>
  <si>
    <t>P 5-5(1) โครงการพัฒนาสื่อประชาสัมพันธ์ในระดับสากล</t>
  </si>
  <si>
    <r>
      <t>เกณฑ์การประเมิน:</t>
    </r>
    <r>
      <rPr>
        <sz val="14"/>
        <rFont val="Chulabhorn Likit Text Light"/>
        <charset val="134"/>
      </rPr>
      <t xml:space="preserve">
นับจำนวนสื่อที่ได้รับการแปลภาษาอังกฤษและ/หรือ ได้รับการประชาสัมพันธ์เป็นภาษาอังกฤษ หารด้วยจำนวนสื่อประชาสัมพันธ์/โพสต์ในช่องทางต่างๆ ทั้งหมด คูณ 100</t>
    </r>
  </si>
  <si>
    <r>
      <t>U-KPI 5-5(1)</t>
    </r>
    <r>
      <rPr>
        <sz val="14"/>
        <rFont val="Chulabhorn Likit Text Light"/>
        <charset val="134"/>
      </rPr>
      <t xml:space="preserve"> ร้อยละของจำนวนสื่อที่ได้รับการแปลภาษาอังกฤษและ/หรือ ได้รับการประชาสัมพันธ์เป็นภาษาอังกฤษ (หน่วย: ร้อยละ/ปี)</t>
    </r>
  </si>
  <si>
    <t>1. งานเลขานุการคณบดี สารบรรณ การบริหารเครือข่าย วิเทศสัมพันธ์ และกิจกรรมพิเศษ
2. งานเทคโนโลยีการศึกษา สารสนเทศและโสตทัศนูปกรณ์</t>
  </si>
  <si>
    <t>P 5-5(2) การเพิ่มช่องทางประชาสัมพันธ์</t>
  </si>
  <si>
    <t>1. งานเทคโนโลยีการศึกษา สารสนเทศและโสตทัศนูปกรณ์</t>
  </si>
  <si>
    <r>
      <t xml:space="preserve">เกณฑ์การประเมิน:
</t>
    </r>
    <r>
      <rPr>
        <sz val="14"/>
        <rFont val="Chulabhorn Likit Text Light"/>
        <charset val="134"/>
      </rPr>
      <t>ร้อยละความสำเร็จ
ร้อยละ 20: มีแบบโครงร่างเว็บไซต์คณะภาคภาษาอังกฤษและข้อมูล TOR เพื่อจัดทำคำของบประมาณ
ร้อยละ 50: ได้รับการจัดสรรงบประมาณ และดำเนินการจัดจ้างทำเว็บไซต์คณะภาคภาษาอังกฤษ
ร้อยละ 100: เปิดใช้เว็บไซต์คณะภาคภาษาอังกฤษ</t>
    </r>
  </si>
  <si>
    <r>
      <t>U-KPI 5-5(2)</t>
    </r>
    <r>
      <rPr>
        <sz val="14"/>
        <rFont val="Chulabhorn Likit Text Light"/>
        <charset val="134"/>
      </rPr>
      <t xml:space="preserve"> ร้อยละความสำเร็จของการพัฒนา Website คณะฯ ที่เป็นภาคภาษาอังกฤษ (หน่วย: ร้อยละ/ปี)</t>
    </r>
  </si>
  <si>
    <t>สรุปยุทธศาสตร์</t>
  </si>
  <si>
    <t>ยุทธศาสตร์</t>
  </si>
  <si>
    <t>วัตถุประสงค์</t>
  </si>
  <si>
    <t>ข้อ</t>
  </si>
  <si>
    <t>SP</t>
  </si>
  <si>
    <t>Output</t>
  </si>
  <si>
    <t>SM</t>
  </si>
  <si>
    <t>Outcome</t>
  </si>
  <si>
    <t>Progect/Activity</t>
  </si>
  <si>
    <t>สรุปตัวชี้วัดระดับยุทธศาสตร์</t>
  </si>
  <si>
    <t>สรุปตัวชี้วัดระดับหน่วยงาน</t>
  </si>
  <si>
    <t>รวม</t>
  </si>
  <si>
    <t xml:space="preserve">ยุทธศาสตร์ที่ 1 : สร้างโอกาสที่เหนือชั้นเพื่อความสำเร็จของผู้เรียน
(Creating unparalleled opportunities for student success) </t>
  </si>
  <si>
    <t xml:space="preserve">เป้าประสงค์ (GOAL): </t>
  </si>
  <si>
    <t>เป็นผู้นำในการผลิตบัณฑิตคุณภาพสูงด้านการแพทย์และสุขภาพที่ตอบโจทย์โลกและสังคมแห่งอนาคต โดยมุ่งเน้นความสำเร็จของนักศึกษา</t>
  </si>
  <si>
    <t>OBJECTIVES:</t>
  </si>
  <si>
    <r>
      <rPr>
        <b/>
        <sz val="14"/>
        <color theme="1"/>
        <rFont val="Chulabhorn Likit Text Light"/>
        <charset val="134"/>
      </rPr>
      <t xml:space="preserve"> O1-1</t>
    </r>
    <r>
      <rPr>
        <sz val="14"/>
        <color theme="1"/>
        <rFont val="Chulabhorn Likit Text Light"/>
        <charset val="134"/>
      </rPr>
      <t xml:space="preserve"> พัฒนาและดำเนินการหลักสูตรที่ตอบโจทย์โลกและสังคมแห่งอนาคต และได้มาตรฐานสากล </t>
    </r>
  </si>
  <si>
    <r>
      <rPr>
        <b/>
        <sz val="14"/>
        <color theme="1"/>
        <rFont val="Chulabhorn Likit Text Light"/>
        <charset val="134"/>
      </rPr>
      <t xml:space="preserve"> O1-2 </t>
    </r>
    <r>
      <rPr>
        <sz val="14"/>
        <color theme="1"/>
        <rFont val="Chulabhorn Likit Text Light"/>
        <charset val="134"/>
      </rPr>
      <t>พัฒนาระบบนิเวศการศึกษาเพื่อส่งเสริมความสำเร็จของผู้เรียน</t>
    </r>
  </si>
  <si>
    <r>
      <rPr>
        <b/>
        <sz val="14"/>
        <color theme="1"/>
        <rFont val="Chulabhorn Likit Text Light"/>
        <charset val="134"/>
      </rPr>
      <t xml:space="preserve"> O1-3 </t>
    </r>
    <r>
      <rPr>
        <sz val="14"/>
        <color theme="1"/>
        <rFont val="Chulabhorn Likit Text Light"/>
        <charset val="134"/>
      </rPr>
      <t>พัฒนาคุณลักษณะบัณฑิตที่พึงประสงค์ และส่งเสริมให้นักศึกษานำความรู้และทักษะไปใช้เพื่อประโยชน์ของส่วนรวม</t>
    </r>
  </si>
  <si>
    <r>
      <rPr>
        <b/>
        <sz val="14"/>
        <color theme="1"/>
        <rFont val="Chulabhorn Likit Text Light"/>
        <charset val="134"/>
      </rPr>
      <t xml:space="preserve"> O1-4 </t>
    </r>
    <r>
      <rPr>
        <sz val="14"/>
        <color theme="1"/>
        <rFont val="Chulabhorn Likit Text Light"/>
        <charset val="134"/>
      </rPr>
      <t xml:space="preserve">ปลูกฝัง Digital Culture &amp; Mindset ในนักศึกษาทุกหลักสูตร เพื่อตอบโจทย์โลกและสังคมแห่งอนาคต </t>
    </r>
  </si>
  <si>
    <t>OUTPUTS:</t>
  </si>
  <si>
    <r>
      <rPr>
        <b/>
        <sz val="14"/>
        <color theme="1"/>
        <rFont val="Chulabhorn Likit Text Light"/>
        <charset val="134"/>
      </rPr>
      <t>KR-OP 1-1</t>
    </r>
    <r>
      <rPr>
        <sz val="14"/>
        <color theme="1"/>
        <rFont val="Chulabhorn Likit Text Light"/>
        <charset val="134"/>
      </rPr>
      <t xml:space="preserve"> มีหลักสูตรที่ตอบโจทย์โลกและสังคมแห่งอนาคต และสามารถผ่านการรับรองคุณภาพตามเกณฑ์มาตรฐานระดับสากลทุกหลักสูตรภายใน 5 ปีนับตั้งแต่ปีที่เปิดหลักสูตร</t>
    </r>
  </si>
  <si>
    <r>
      <rPr>
        <b/>
        <sz val="14"/>
        <color theme="1"/>
        <rFont val="Chulabhorn Likit Text Light"/>
        <charset val="134"/>
      </rPr>
      <t xml:space="preserve">KR-OP 1-2 </t>
    </r>
    <r>
      <rPr>
        <sz val="14"/>
        <color theme="1"/>
        <rFont val="Chulabhorn Likit Text Light"/>
        <charset val="134"/>
      </rPr>
      <t>มีแพลตฟอร์ม Medical school digital DIY เพื่อส่งเสริมและติดตามความสำเร็จของนักศึกษาอย่างมีประสิทธิภาพ อย่างน้อย 1 แพลตฟอร์ม</t>
    </r>
  </si>
  <si>
    <r>
      <rPr>
        <b/>
        <sz val="14"/>
        <color theme="1"/>
        <rFont val="Chulabhorn Likit Text Light"/>
        <charset val="134"/>
      </rPr>
      <t>KR-OP 1-3</t>
    </r>
    <r>
      <rPr>
        <sz val="14"/>
        <color theme="1"/>
        <rFont val="Chulabhorn Likit Text Light"/>
        <charset val="134"/>
      </rPr>
      <t xml:space="preserve"> บัณฑิตทุกหลักสูตรได้รับการประเมินตามเกณฑ์คุณลักษณะบัณฑิตที่พึงประสงค์ และผ่านการประเมิน Digital literacy ทุกคน </t>
    </r>
  </si>
  <si>
    <r>
      <t>KR-OP 1-4</t>
    </r>
    <r>
      <rPr>
        <sz val="14"/>
        <rFont val="Chulabhorn Likit Text Light"/>
        <charset val="134"/>
      </rPr>
      <t xml:space="preserve"> นักศึกษามีความพึงพอใจต่อหลักสูตรของคณะ อย่างน้อยร้อยละ 80</t>
    </r>
  </si>
  <si>
    <t>OUTCOMES:</t>
  </si>
  <si>
    <r>
      <rPr>
        <b/>
        <sz val="14"/>
        <color theme="1"/>
        <rFont val="Chulabhorn Likit Text Light"/>
        <charset val="134"/>
      </rPr>
      <t>KR-OC 1-1</t>
    </r>
    <r>
      <rPr>
        <sz val="14"/>
        <color theme="1"/>
        <rFont val="Chulabhorn Likit Text Light"/>
        <charset val="134"/>
      </rPr>
      <t xml:space="preserve"> นักศึกษาประสบความสำเร็จในการเรียนรู้ ทั้งในห้องเรียนและนอกห้องเรียน โดยสอบผ่านตามเกณฑ์วิชาชีพร้อยละ 100 และได้งานทำหรือศึกษาต่อระดับสูงร้อยละ 100</t>
    </r>
  </si>
  <si>
    <r>
      <rPr>
        <b/>
        <sz val="14"/>
        <color theme="1"/>
        <rFont val="Chulabhorn Likit Text Light"/>
        <charset val="134"/>
      </rPr>
      <t xml:space="preserve">KR-OC 1-2 </t>
    </r>
    <r>
      <rPr>
        <sz val="14"/>
        <color theme="1"/>
        <rFont val="Chulabhorn Likit Text Light"/>
        <charset val="134"/>
      </rPr>
      <t>มีนักศึกษาปัจจุบันหรือศิษย์เก่าที่ได้รับรางวัลหรือมีชื่อเสียงระดับชาติหรือนานาชาติ</t>
    </r>
  </si>
  <si>
    <r>
      <rPr>
        <sz val="14"/>
        <color rgb="FF000000"/>
        <rFont val="Chulabhorn Likit Text Light"/>
        <charset val="134"/>
      </rPr>
      <t>1. ผู้ช่วยคณบดีฝ่ายบริหารการศึกษา
(คณะกรรมการการศึกษา)</t>
    </r>
    <r>
      <rPr>
        <sz val="14"/>
        <color rgb="FFFF0000"/>
        <rFont val="Chulabhorn Likit Text Light"/>
        <charset val="134"/>
      </rPr>
      <t xml:space="preserve"> 
</t>
    </r>
  </si>
  <si>
    <r>
      <rPr>
        <u/>
        <sz val="14"/>
        <rFont val="Chulabhorn Likit Text Light"/>
        <charset val="134"/>
      </rPr>
      <t>สูตรในการคํานวณตัวชี้วัด</t>
    </r>
    <r>
      <rPr>
        <sz val="14"/>
        <rFont val="Chulabhorn Likit Text Light"/>
        <charset val="134"/>
      </rPr>
      <t xml:space="preserve"> การเก็บรวบรวมจํานวนหลักสูตรที่เพิ่มขึ้นเรื่อยๆ ทุกปี
</t>
    </r>
    <r>
      <rPr>
        <b/>
        <sz val="14"/>
        <rFont val="Chulabhorn Likit Text Light"/>
        <charset val="134"/>
      </rPr>
      <t xml:space="preserve">หลักสูตรใหม่ </t>
    </r>
    <r>
      <rPr>
        <sz val="14"/>
        <rFont val="Chulabhorn Likit Text Light"/>
        <charset val="134"/>
      </rPr>
      <t>หมายถึง หลักสูตรระดับอนุปริญญา/ปริญญาตรี  /ปริญญาโท และระดับบัณฑิตศึกษา ที่พัฒนาขึ้นใหม่ ซึ่งยังไม่เคยเปิดสอนมาก่อน และต้องบรรจุอยู่ในแผนพัฒนาหลักสูตรของคณะ</t>
    </r>
  </si>
  <si>
    <r>
      <rPr>
        <b/>
        <u/>
        <sz val="14"/>
        <rFont val="Chulabhorn Likit Text Light"/>
        <charset val="134"/>
      </rPr>
      <t>S-KPI 1-1(1)</t>
    </r>
    <r>
      <rPr>
        <sz val="14"/>
        <rFont val="Chulabhorn Likit Text Light"/>
        <charset val="134"/>
      </rPr>
      <t xml:space="preserve"> จำนวนหลักสูตรในระดับอนุปริญญา ปริญญาบัณฑิต และบัณฑิตศึกษาที่ตอบสนองความต้องการของประเทศ (หน่วย: หลักสูตร/ปี) (สะสม)</t>
    </r>
  </si>
  <si>
    <r>
      <rPr>
        <u/>
        <sz val="14"/>
        <rFont val="Chulabhorn Likit Text Light"/>
        <charset val="134"/>
      </rPr>
      <t>U-KPI 1-1(1)A</t>
    </r>
    <r>
      <rPr>
        <sz val="14"/>
        <rFont val="Chulabhorn Likit Text Light"/>
        <charset val="134"/>
      </rPr>
      <t xml:space="preserve"> จำนวนหลักสูตร (ใหม่) ในระดับปริญญาบัณฑิตและบัณฑิตศึกษาที่ตอบสนองความต้องการของประเทศ (หน่วย: หลักสูตร/ปี)</t>
    </r>
  </si>
  <si>
    <r>
      <rPr>
        <u/>
        <sz val="14"/>
        <rFont val="Chulabhorn Likit Text Light"/>
        <charset val="134"/>
      </rPr>
      <t>U-KPI 1-1(1)B</t>
    </r>
    <r>
      <rPr>
        <sz val="14"/>
        <rFont val="Chulabhorn Likit Text Light"/>
        <charset val="134"/>
      </rPr>
      <t xml:space="preserve"> จำนวนหลักสูตรวิชาชีพ (ใหม่) ที่ตอบสนองความต้องการของประเทศ (หน่วย: หลักสูตร/ปี)</t>
    </r>
  </si>
  <si>
    <r>
      <rPr>
        <u/>
        <sz val="14"/>
        <rFont val="Chulabhorn Likit Text Light"/>
        <charset val="134"/>
      </rPr>
      <t>สูตรในการคํานวณตัวชี้วัด</t>
    </r>
    <r>
      <rPr>
        <sz val="14"/>
        <rFont val="Chulabhorn Likit Text Light"/>
        <charset val="134"/>
      </rPr>
      <t xml:space="preserve"> การเก็บรวบรวมจํานวนวิชาในหลักสูตรใหม่ที่เพิ่มขึ้นเรื่อยๆ ทุกปี
(หลักสูตรระดับอนุปริญญา ปริญญาบัณฑิตและระดับบัณฑิตศึกษา ที่พัฒนาขึ้นใหม่ ซึ่งยังไม่เคยเปิดสอนมาก่อน และต้องบรรจุอยู่ในแผนพัฒนาหลักสูตรของคณะ)</t>
    </r>
  </si>
  <si>
    <r>
      <rPr>
        <b/>
        <u/>
        <sz val="14"/>
        <rFont val="Chulabhorn Likit Text Light"/>
        <charset val="134"/>
      </rPr>
      <t>S-KPI 1-1(2)A</t>
    </r>
    <r>
      <rPr>
        <sz val="14"/>
        <rFont val="Chulabhorn Likit Text Light"/>
        <charset val="134"/>
      </rPr>
      <t xml:space="preserve"> จำนวนวิชาในหลักสูตรระดับปริญญาบัณฑิตและบัณฑิตศึกษา ที่บูรณาการ Flexible Time, Fixed Competency, Anytime Anywhere (MOOC/COURSE ระยะสั้น/ Credit bank) ที่ตอบสนองความต้องการของประเทศ (หน่วย: วิชา/ปี) (สะสม)
</t>
    </r>
  </si>
  <si>
    <r>
      <rPr>
        <u/>
        <sz val="14"/>
        <rFont val="Chulabhorn Likit Text Light"/>
        <charset val="134"/>
      </rPr>
      <t>สูตรในการคํานวณตัวชี้วัด</t>
    </r>
    <r>
      <rPr>
        <sz val="14"/>
        <rFont val="Chulabhorn Likit Text Light"/>
        <charset val="134"/>
      </rPr>
      <t xml:space="preserve"> การเก็บรวบรวมจํานวนหลักสูตรระยะสั้น/ใหม่ที่เพิ่มขึ้นเรื่อยๆ ทุกปี</t>
    </r>
  </si>
  <si>
    <r>
      <rPr>
        <u/>
        <sz val="14"/>
        <rFont val="Chulabhorn Likit Text Light"/>
        <charset val="134"/>
      </rPr>
      <t xml:space="preserve">สููตรในการคํานวณตัวชี้วัด </t>
    </r>
    <r>
      <rPr>
        <sz val="14"/>
        <rFont val="Chulabhorn Likit Text Light"/>
        <charset val="134"/>
      </rPr>
      <t xml:space="preserve">
1. อัตราการผ่านการประเมินผลลัพธ์การเรียนรู้ที่คาดหวังของนักศึกษาแต่ละหลักสูตร / จํานวนนักศึกษาทั้งหมดในแต่ละรุ่น
2. จํานวนนักศึกษาที่เข้าร่วมกิจของของแต่ละหลักสูตร และความพึงพอใจของนักศึกษาต่อการเข้าร่วมกิจกรรมนักศึกษา</t>
    </r>
  </si>
  <si>
    <r>
      <rPr>
        <b/>
        <u/>
        <sz val="14"/>
        <rFont val="Chulabhorn Likit Text Light"/>
        <charset val="134"/>
      </rPr>
      <t>S-KPI 1-1(3)</t>
    </r>
    <r>
      <rPr>
        <sz val="14"/>
        <rFont val="Chulabhorn Likit Text Light"/>
        <charset val="134"/>
      </rPr>
      <t xml:space="preserve"> อัตราการผ่านการประเมินผลลัพธ์การเรียนรู้ที่คาดหวัง ของนักศึกษาแต่ละหลักสูตร/จำนวนนักศึกษาทั้งหมดในแต่ละปี (หน่วย: ร้อยละ/ปี) </t>
    </r>
  </si>
  <si>
    <r>
      <rPr>
        <u/>
        <sz val="14"/>
        <rFont val="Chulabhorn Likit Text Light"/>
        <charset val="134"/>
      </rPr>
      <t>U-KPI 1-1(3)B</t>
    </r>
    <r>
      <rPr>
        <sz val="14"/>
        <rFont val="Chulabhorn Likit Text Light"/>
        <charset val="134"/>
      </rPr>
      <t xml:space="preserve"> จำนวนบัณฑิตได้รับการยอมรับในระดับชาติและระดับนานาชาติ เช่น ได้รับรางวัล ได้รับการตอบรับในการเรียนต่อ  (หน่วย: คน/ปี)</t>
    </r>
  </si>
  <si>
    <r>
      <rPr>
        <b/>
        <u/>
        <sz val="14"/>
        <rFont val="Chulabhorn Likit Text Light"/>
        <charset val="134"/>
      </rPr>
      <t>S-KPI 1-1(4)</t>
    </r>
    <r>
      <rPr>
        <sz val="14"/>
        <rFont val="Chulabhorn Likit Text Light"/>
        <charset val="134"/>
      </rPr>
      <t xml:space="preserve"> ร้อยละของจำนวนศิษย์เก่าผู้เข้าร่วมโครงการภาคีศิษย์เก่าสัมพันธ์ (หน่วย: ร้อยละ/ปี)
</t>
    </r>
  </si>
  <si>
    <r>
      <rPr>
        <u/>
        <sz val="14"/>
        <rFont val="Chulabhorn Likit Text Light"/>
        <charset val="134"/>
      </rPr>
      <t>U-KPI 1-1(4</t>
    </r>
    <r>
      <rPr>
        <sz val="14"/>
        <rFont val="Chulabhorn Likit Text Light"/>
        <charset val="134"/>
      </rPr>
      <t>) จำนวนโครงการที่ส่งเสริม Engagement ผ่านเครือข่ายความร่วมมือและภาคีศิษย์เก่าสัมพันธ์ (หน่วย: โครงการหรือกิจกรรม/ปี)</t>
    </r>
  </si>
  <si>
    <r>
      <rPr>
        <b/>
        <u/>
        <sz val="14"/>
        <rFont val="Chulabhorn Likit Text Light"/>
        <charset val="134"/>
      </rPr>
      <t>S-KPI 1-1(5)</t>
    </r>
    <r>
      <rPr>
        <sz val="14"/>
        <rFont val="Chulabhorn Likit Text Light"/>
        <charset val="134"/>
      </rPr>
      <t xml:space="preserve"> ระดับความสำเร็จของพัฒนาระบบ PSCM ALUMNI Network (หน่วย: โครงการหรือกิจกรรม/ปี)</t>
    </r>
  </si>
  <si>
    <r>
      <rPr>
        <b/>
        <u/>
        <sz val="14"/>
        <rFont val="Chulabhorn Likit Text Light"/>
        <charset val="134"/>
      </rPr>
      <t>S-KPI 1-2(1)</t>
    </r>
    <r>
      <rPr>
        <sz val="14"/>
        <rFont val="Chulabhorn Likit Text Light"/>
        <charset val="134"/>
      </rPr>
      <t xml:space="preserve"> ร้อยละของนักศึกษาที่สอบผ่านตามเกณฑ์วิชาชีพภายในระยะเวลาที่กำหนด (หน่วย: ร้อยละ/ปี) (MD ก่อนสำเร็จการศึกษา, MP ภายในระยะเวลา 1 ปี หลังสำเร็จการศึกษา)</t>
    </r>
  </si>
  <si>
    <r>
      <rPr>
        <u/>
        <sz val="14"/>
        <rFont val="Chulabhorn Likit Text Light"/>
        <charset val="134"/>
      </rPr>
      <t>U-KPI 1-2(1)A</t>
    </r>
    <r>
      <rPr>
        <sz val="14"/>
        <rFont val="Chulabhorn Likit Text Light"/>
        <charset val="134"/>
      </rPr>
      <t xml:space="preserve"> ร้อยละของนักศึกษาฟิสิกส์การแพทย์ที่สอบผ่านตามเกณฑ์วิชาชีพภายในระยะเวลา 1 ปี หลังสำเร็จการศึกษา (หน่วย: ร้อยละ/ปี)</t>
    </r>
  </si>
  <si>
    <r>
      <rPr>
        <u/>
        <sz val="14"/>
        <rFont val="Chulabhorn Likit Text Light"/>
        <charset val="134"/>
      </rPr>
      <t>สูตรในการคํานวณตัวชี้วัด</t>
    </r>
    <r>
      <rPr>
        <sz val="14"/>
        <rFont val="Chulabhorn Likit Text Light"/>
        <charset val="134"/>
      </rPr>
      <t>ความพึงพอใจของผู้ใช้บัณฑิตที่มีต่อคุณภาพบัณฑิต คํานวณตามคะแนน Average ทุกด้าน ต่อคะแนนเต็ม 5 คูณ 100</t>
    </r>
  </si>
  <si>
    <r>
      <rPr>
        <b/>
        <u/>
        <sz val="14"/>
        <color rgb="FF000000"/>
        <rFont val="Chulabhorn Likit Text Light"/>
        <charset val="134"/>
      </rPr>
      <t>S-KPI 1-2(2)A</t>
    </r>
    <r>
      <rPr>
        <sz val="14"/>
        <color rgb="FF000000"/>
        <rFont val="Chulabhorn Likit Text Light"/>
        <charset val="134"/>
      </rPr>
      <t xml:space="preserve"> ร้อยละความพึงพอใจของนายจ้างต่อคุณภาพบัณฑิต ระดับมาก-มากที่สุด (คะแนน 4 เต็ม 5)</t>
    </r>
  </si>
  <si>
    <r>
      <rPr>
        <u/>
        <sz val="14"/>
        <rFont val="Chulabhorn Likit Text Light"/>
        <charset val="134"/>
      </rPr>
      <t>สูตรในการคํานวณตัวชี้วัด</t>
    </r>
    <r>
      <rPr>
        <sz val="14"/>
        <rFont val="Chulabhorn Likit Text Light"/>
        <charset val="134"/>
      </rPr>
      <t>ความพึงพอใจของบัณฑิตที่มีต่อการบริหารจัดการด้านการเรียนการสอน คะแนนคํานวณต่อคะแนนเต็ม 5 คูณ 100</t>
    </r>
  </si>
  <si>
    <r>
      <rPr>
        <b/>
        <u/>
        <sz val="14"/>
        <color rgb="FF000000"/>
        <rFont val="Chulabhorn Likit Text Light"/>
        <charset val="134"/>
      </rPr>
      <t>S-KPI 1-2(2)B</t>
    </r>
    <r>
      <rPr>
        <sz val="14"/>
        <color rgb="FF000000"/>
        <rFont val="Chulabhorn Likit Text Light"/>
        <charset val="134"/>
      </rPr>
      <t xml:space="preserve"> ร้อยละความพึงพอใจของบัณฑิตที่มีต่อหลักสูตรของ คณะ ระดับมาก-มากที่สุด (คะแนน 4 เต็ม 5)</t>
    </r>
  </si>
  <si>
    <r>
      <rPr>
        <u/>
        <sz val="14"/>
        <color theme="1"/>
        <rFont val="Chulabhorn Likit Text Light"/>
        <charset val="134"/>
      </rPr>
      <t xml:space="preserve">U-KPI 1-3(1) </t>
    </r>
    <r>
      <rPr>
        <sz val="14"/>
        <color theme="1"/>
        <rFont val="Chulabhorn Likit Text Light"/>
        <charset val="134"/>
      </rPr>
      <t>ความพร้อมของการใช้งานห้องปฏิบัติการสร้างต้นแบบนวัตกรรม Innovation Zone (หน่วย: ร้อยละ/ปี)</t>
    </r>
  </si>
  <si>
    <r>
      <rPr>
        <b/>
        <u/>
        <sz val="14"/>
        <rFont val="Chulabhorn Likit Text Light"/>
        <charset val="134"/>
      </rPr>
      <t>S-KPI 1-4(1)A</t>
    </r>
    <r>
      <rPr>
        <sz val="14"/>
        <rFont val="Chulabhorn Likit Text Light"/>
        <charset val="134"/>
      </rPr>
      <t xml:space="preserve"> ระดับความสำเร็จของระบบ online self-service (หน่วย: ระดับคะแนน/ปี)</t>
    </r>
  </si>
  <si>
    <r>
      <rPr>
        <u/>
        <sz val="14"/>
        <rFont val="Chulabhorn Likit Text Light"/>
        <charset val="134"/>
      </rPr>
      <t>U-KPI 1-4(1)A</t>
    </r>
    <r>
      <rPr>
        <sz val="14"/>
        <rFont val="Chulabhorn Likit Text Light"/>
        <charset val="134"/>
      </rPr>
      <t xml:space="preserve"> MY PSCM (หน่วย: ระดับคะแนน/ปี)
</t>
    </r>
  </si>
  <si>
    <r>
      <rPr>
        <u/>
        <sz val="14"/>
        <rFont val="Chulabhorn Likit Text Light"/>
        <charset val="134"/>
      </rPr>
      <t>U-KPI 1-4(1)B</t>
    </r>
    <r>
      <rPr>
        <sz val="14"/>
        <rFont val="Chulabhorn Likit Text Light"/>
        <charset val="134"/>
      </rPr>
      <t xml:space="preserve"> Smart E-portfolio (หน่วย: ระดับคะแนน/ปี)</t>
    </r>
  </si>
  <si>
    <r>
      <rPr>
        <u/>
        <sz val="14"/>
        <rFont val="Chulabhorn Likit Text Light"/>
        <charset val="134"/>
      </rPr>
      <t>U-KPI 1-4(1)C</t>
    </r>
    <r>
      <rPr>
        <sz val="14"/>
        <rFont val="Chulabhorn Likit Text Light"/>
        <charset val="134"/>
      </rPr>
      <t xml:space="preserve"> Metaverse of PSCM (หน่วย: ระดับคะแนน/ปี)</t>
    </r>
  </si>
  <si>
    <r>
      <rPr>
        <u/>
        <sz val="14"/>
        <color rgb="FF000000"/>
        <rFont val="Chulabhorn Likit Text Light"/>
        <charset val="134"/>
      </rPr>
      <t>สูตรในการคํานวณตัวชี้วัด</t>
    </r>
    <r>
      <rPr>
        <sz val="14"/>
        <color rgb="FF000000"/>
        <rFont val="Chulabhorn Likit Text Light"/>
        <charset val="134"/>
      </rPr>
      <t xml:space="preserve"> 
ร้อยละผลการประเมินประโยชน์ต่อการเรียนรู้ในระดับมาก-มากที่สุด</t>
    </r>
  </si>
  <si>
    <r>
      <rPr>
        <b/>
        <u/>
        <sz val="14"/>
        <color theme="1"/>
        <rFont val="Chulabhorn Likit Text Light"/>
        <charset val="134"/>
      </rPr>
      <t>S-KPI 1-4(1)B</t>
    </r>
    <r>
      <rPr>
        <sz val="14"/>
        <color theme="1"/>
        <rFont val="Chulabhorn Likit Text Light"/>
        <charset val="134"/>
      </rPr>
      <t xml:space="preserve"> ร้อยละผลการประเมินประโยชน์ต่อการเรียนรู้ในแพลตฟอร์ม Medical school digital DIY ระดับมาก-มากที่สุด (หน่วย: ร้อยละ/ปี)</t>
    </r>
  </si>
  <si>
    <r>
      <rPr>
        <u/>
        <sz val="14"/>
        <color theme="1"/>
        <rFont val="Chulabhorn Likit Text Light"/>
        <charset val="134"/>
      </rPr>
      <t>U-KPI 1-4(1)D</t>
    </r>
    <r>
      <rPr>
        <sz val="14"/>
        <color theme="1"/>
        <rFont val="Chulabhorn Likit Text Light"/>
        <charset val="134"/>
      </rPr>
      <t xml:space="preserve"> ร้อยละของนักศึกษาที่เข้าใช้งานระบบแพลตฟอร์ม Medical school digital DIY  (หน่วย: ร้อยละ/ปี)</t>
    </r>
  </si>
  <si>
    <r>
      <rPr>
        <u/>
        <sz val="14"/>
        <color theme="1"/>
        <rFont val="Chulabhorn Likit Text Light"/>
        <charset val="134"/>
      </rPr>
      <t>U-KPI 1-4(2)</t>
    </r>
    <r>
      <rPr>
        <sz val="14"/>
        <color theme="1"/>
        <rFont val="Chulabhorn Likit Text Light"/>
        <charset val="134"/>
      </rPr>
      <t xml:space="preserve"> ร้อยละของนักศึกษาที่ผ่านการประเมิน Digital Literacy (หน่วย: ร้อยละ/ปี)</t>
    </r>
  </si>
  <si>
    <t xml:space="preserve"> Project</t>
  </si>
  <si>
    <t>S-KPI</t>
  </si>
  <si>
    <t>U-KPI</t>
  </si>
  <si>
    <t>รวม KPI</t>
  </si>
  <si>
    <t>ยุทธศาสตร์ที่ 2 : ก้าวข้ามขีดจำกัดของการค้นพบและนวัตกรรมทางการแพทย์ 
(Pushing the boundaries of medical discoveries and innovation)</t>
  </si>
  <si>
    <t>เป็นผู้นำด้านการพัฒนานวัตกรรมและการค้นคว้าวิจัยเพื่อสุขภาพ โดยติดอันดับ 1 ใน 10 ของประเทศ และก้าวสู่ World Class research oriented medical school</t>
  </si>
  <si>
    <r>
      <rPr>
        <b/>
        <sz val="14"/>
        <color theme="1"/>
        <rFont val="Chulabhorn Likit Text Light"/>
        <charset val="134"/>
      </rPr>
      <t xml:space="preserve"> O2-1 </t>
    </r>
    <r>
      <rPr>
        <sz val="14"/>
        <color theme="1"/>
        <rFont val="Chulabhorn Likit Text Light"/>
        <charset val="134"/>
      </rPr>
      <t>มุ่งเน้นการทำงานวิจัยและนวัตกรรมที่มีผลกระทบสูง (High-impact)</t>
    </r>
  </si>
  <si>
    <r>
      <rPr>
        <b/>
        <sz val="14"/>
        <color theme="1"/>
        <rFont val="Chulabhorn Likit Text Light"/>
        <charset val="134"/>
      </rPr>
      <t xml:space="preserve"> O2-2 </t>
    </r>
    <r>
      <rPr>
        <sz val="14"/>
        <color theme="1"/>
        <rFont val="Chulabhorn Likit Text Light"/>
        <charset val="134"/>
      </rPr>
      <t xml:space="preserve">พัฒนาทรัพยากรและระบบสนับสนุนงานวิจัยแบบครบวงจร </t>
    </r>
  </si>
  <si>
    <r>
      <rPr>
        <sz val="14"/>
        <color theme="1"/>
        <rFont val="Chulabhorn Likit Text Light"/>
        <charset val="134"/>
      </rPr>
      <t xml:space="preserve"> </t>
    </r>
    <r>
      <rPr>
        <b/>
        <sz val="14"/>
        <color theme="1"/>
        <rFont val="Chulabhorn Likit Text Light"/>
        <charset val="134"/>
      </rPr>
      <t>O2-3</t>
    </r>
    <r>
      <rPr>
        <sz val="14"/>
        <color theme="1"/>
        <rFont val="Chulabhorn Likit Text Light"/>
        <charset val="134"/>
      </rPr>
      <t xml:space="preserve"> ขับเคลื่อนการวิจัยและนวัตกรรมด้วยทุนมนุษย์</t>
    </r>
  </si>
  <si>
    <r>
      <rPr>
        <b/>
        <sz val="14"/>
        <color theme="1"/>
        <rFont val="Chulabhorn Likit Text Light"/>
        <charset val="134"/>
      </rPr>
      <t>KR-OP 2-1</t>
    </r>
    <r>
      <rPr>
        <sz val="14"/>
        <color theme="1"/>
        <rFont val="Chulabhorn Likit Text Light"/>
        <charset val="134"/>
      </rPr>
      <t xml:space="preserve"> H-index โดยรวมของคณะแพทยศาสตร์ฯ ไม่น้อยกว่า 30 ภายในปี พ.ศ. 2570 </t>
    </r>
  </si>
  <si>
    <r>
      <rPr>
        <b/>
        <sz val="14"/>
        <color theme="1"/>
        <rFont val="Chulabhorn Likit Text Light"/>
        <charset val="134"/>
      </rPr>
      <t xml:space="preserve">KR-OP 2-2 </t>
    </r>
    <r>
      <rPr>
        <sz val="14"/>
        <color theme="1"/>
        <rFont val="Chulabhorn Likit Text Light"/>
        <charset val="134"/>
      </rPr>
      <t>มูลค่าทุนวิจัยทั้งภายในและภายนอกโดยรวมเพิ่มขึ้นอย่างน้อยร้อยละ 10 ต่อปี</t>
    </r>
  </si>
  <si>
    <r>
      <rPr>
        <b/>
        <sz val="14"/>
        <color theme="1"/>
        <rFont val="Chulabhorn Likit Text Light"/>
        <charset val="134"/>
      </rPr>
      <t xml:space="preserve">KR-OP 2-3 </t>
    </r>
    <r>
      <rPr>
        <sz val="14"/>
        <color theme="1"/>
        <rFont val="Chulabhorn Likit Text Light"/>
        <charset val="134"/>
      </rPr>
      <t>มีโครงการวิจัยที่มีการเชื่อมโยงเทคโนโลยีปัญญาประดิษฐ์หรือ Big data อย่างน้อยปีละ 2 โครงการ</t>
    </r>
  </si>
  <si>
    <r>
      <rPr>
        <b/>
        <sz val="14"/>
        <color theme="1"/>
        <rFont val="Chulabhorn Likit Text Light"/>
        <charset val="134"/>
      </rPr>
      <t xml:space="preserve">KR-OP 2-4 </t>
    </r>
    <r>
      <rPr>
        <sz val="14"/>
        <color theme="1"/>
        <rFont val="Chulabhorn Likit Text Light"/>
        <charset val="134"/>
      </rPr>
      <t>ผลงานวิจัยหรือนวัตกรรมที่ได้รับรางวัลระดับชาติหรือนานาชาติ อย่างน้อยปีละ 1 ผลงาน</t>
    </r>
  </si>
  <si>
    <r>
      <rPr>
        <b/>
        <sz val="14"/>
        <color theme="1"/>
        <rFont val="Chulabhorn Likit Text Light"/>
        <charset val="134"/>
      </rPr>
      <t xml:space="preserve">KR-OC 2-1 </t>
    </r>
    <r>
      <rPr>
        <sz val="14"/>
        <color theme="1"/>
        <rFont val="Chulabhorn Likit Text Light"/>
        <charset val="134"/>
      </rPr>
      <t>มีนักวิจัยหรือนวัตกรที่เป็นที่ยอมรับในระดับชาติและนานาชาติ</t>
    </r>
  </si>
  <si>
    <r>
      <rPr>
        <b/>
        <sz val="14"/>
        <color theme="1"/>
        <rFont val="Chulabhorn Likit Text Light"/>
        <charset val="134"/>
      </rPr>
      <t xml:space="preserve">KR-OC 2-2 </t>
    </r>
    <r>
      <rPr>
        <sz val="14"/>
        <color theme="1"/>
        <rFont val="Chulabhorn Likit Text Light"/>
        <charset val="134"/>
      </rPr>
      <t>เป็นคณะแพทยศาสตร์ที่ติดอันดับ 1 ใน 500 ของโลกในระยะเวลา 6 ปี</t>
    </r>
  </si>
  <si>
    <r>
      <rPr>
        <sz val="14"/>
        <rFont val="Chulabhorn Likit Text Light"/>
        <family val="3"/>
      </rPr>
      <t>P 2-1(1) โครงการพัฒนาและผลักดันการสร้างผลงานวิจัยและนวัตกรรมที่มีผลกระทบสูง</t>
    </r>
    <r>
      <rPr>
        <sz val="11"/>
        <color rgb="FF002060"/>
        <rFont val="Chulabhorn Likit Text Light"/>
        <charset val="134"/>
      </rPr>
      <t xml:space="preserve">
คําอธิบายประกอบตัวชี้วัด
Technology Readiness Level – TRL คือ เครื่องมือในการสื่อสารระดับความพร้อมของเทคโนโลยีของผลงานวิจัย ตั้งแต่การกําหนดเป้าหมายของโครงการวิจัยและประเมินความพร้อมของผลผลิตของโครงการวิจัยที่ส่งมอบเมื่อปิดโครงการ ประกอบด้วย ระดับ TRL 1-9 
โดยแบ่งเป็น 3 ช่วงหลัก คือ
TRL Level 1-3 เป็นช่วงงานวิจัยพื้นฐาน (Basic research)
TRL Level 4-7 เป็นช่วงการพัฒนาต้นแบบ (Prototype development)
TRL Level 8-9 เป็นช่วงการผลิตหรือการใช้งานต่อเนื่อง (Product on shelf)
ระดับ TRL ดังนี้
• TRL 1 – หลักการพื้นฐานได้รับการพิจารณาและมีการรายงาน
• TRL 2 – มีการสร้างรูปแบบหลักการ และ/หรือการประยุกต์ใช้
• TRL 3 – แนวคิดได้ถูกสาธิตด้วยการวิเคราะห์จําลอง หรือทดลอง
• TRL 4 – องค์ประกอบที่สําคัญได้ถูกสาธิตในระดับห้องปฏิบัติการแล้ว
• TRL 5 – องค์ประกอบที่สําคัญได้ถูกสาธิตในระดับสภาวะที่ใกล้เคียงกับการใช้งาน
• TRL 6 – ต้นแบบของผลิตภัณฑ์หรือกระบวนการที่พร้อมเป็นสิงส่งมอบ ได้ผ่านการสาธิตและพิสูจน์การใช้งานในสภาวะแวดล้อมที่เกี่ยวข้องกับการทํางานจริง
• TRL 7 – ต้นแบบของผลิตภัณฑ์หรือกระบวนการขั้นสุดท้าย ได้ผ่านการสาธิตและพิสูจน์การใช้งานในสภาวะทํางานจริง
• TRL 8 – เทคโนโลยี/ผลิตภัณฑ์/กระบวนการที่ส่งมอบจริง ผ่านการทดสอบคุณภาพการใช้งานตามมาตรฐานของผู้ใช้/มาตรฐานคุณภาพที่เกี่ยวข้อง/กฎหมายที่เกี่ยวข้อง หรือถูกบูรณาการเข้ากับระบบของลูกค้า/ผู้ใช้งานแล้ว
• TRL 9 – เทคโนโลยีหรือผลิตภัณฑ์ถูกนําไปใช้งานจริง และติดตามผลการใช้งานอย่างต่อเนื่องตามระยะเวลาที่เหมาะสม โดยหากมีข้อบกพร่อง ต้องดําเนินการแก้ไขให้เรียบร้อย</t>
    </r>
  </si>
  <si>
    <r>
      <rPr>
        <u/>
        <sz val="14"/>
        <color rgb="FF000000"/>
        <rFont val="Chulabhorn Likit Text Light"/>
        <charset val="134"/>
      </rPr>
      <t>สูตรในการคํานวณตัวชี้วัด:</t>
    </r>
    <r>
      <rPr>
        <sz val="14"/>
        <color rgb="FF000000"/>
        <rFont val="Chulabhorn Likit Text Light"/>
        <charset val="134"/>
      </rPr>
      <t xml:space="preserve"> นับจํานวนผลงานวิจัยและนวัตกรรมที่อยู่ในระดับ TRL/SRL 4-9 ในปีงบประมาณ</t>
    </r>
  </si>
  <si>
    <r>
      <rPr>
        <b/>
        <u/>
        <sz val="14"/>
        <color rgb="FF000000"/>
        <rFont val="Chulabhorn Likit Text Light"/>
      </rPr>
      <t>S-KPI 2-1(1)A</t>
    </r>
    <r>
      <rPr>
        <sz val="14"/>
        <color rgb="FF000000"/>
        <rFont val="Chulabhorn Likit Text Light"/>
      </rPr>
      <t xml:space="preserve"> จำนวนผลงานวิจัย และนวัตกรรมที่นำไปใช้ประโยชน์ต่อชุมชน สังคม การศึกษา ประเทศชาติ เชิงพาณิชย์ เชิงนโยบาย ที่อยู่ในระดับ TRL/SRL 4-9 (หน่วย: ผลงาน/ปี) (สะสม)</t>
    </r>
  </si>
  <si>
    <r>
      <rPr>
        <u/>
        <sz val="14"/>
        <rFont val="Chulabhorn Likit Text Light"/>
        <charset val="134"/>
      </rPr>
      <t>U-KPI 2-1(1)A</t>
    </r>
    <r>
      <rPr>
        <sz val="14"/>
        <rFont val="Chulabhorn Likit Text Light"/>
        <charset val="134"/>
      </rPr>
      <t xml:space="preserve"> จำนวนนวัตกรรมบริการสุขภาพสะสม (หน่วย: ผลงาน/ปี)</t>
    </r>
  </si>
  <si>
    <r>
      <rPr>
        <u/>
        <sz val="14"/>
        <rFont val="Chulabhorn Likit Text Light"/>
        <charset val="134"/>
      </rPr>
      <t>U-KPI 2-1(1)B</t>
    </r>
    <r>
      <rPr>
        <sz val="14"/>
        <rFont val="Chulabhorn Likit Text Light"/>
        <charset val="134"/>
      </rPr>
      <t xml:space="preserve"> จำนวนงานวิจัยหรือนวัตกรรมที่ได้ยื่นการจดสิทธิบัตรหรืออนุสิทธิบัตร (หน่วย: เรื่อง/ปี)</t>
    </r>
  </si>
  <si>
    <r>
      <rPr>
        <u/>
        <sz val="14"/>
        <color rgb="FF000000"/>
        <rFont val="Chulabhorn Likit Text Light"/>
        <charset val="134"/>
      </rPr>
      <t>U-KPI 2-1(1)C</t>
    </r>
    <r>
      <rPr>
        <sz val="14"/>
        <color rgb="FF000000"/>
        <rFont val="Chulabhorn Likit Text Light"/>
        <charset val="134"/>
      </rPr>
      <t xml:space="preserve"> จำนวนงานวิจัยหรือนวัตกรรมที่ได้ยื่นการจดแจ้งลิขสิทธิ์ (หน่วย: เรื่อง/ปี/คน)</t>
    </r>
  </si>
  <si>
    <r>
      <rPr>
        <u/>
        <sz val="14"/>
        <color rgb="FF000000"/>
        <rFont val="Chulabhorn Likit Text Light"/>
        <charset val="134"/>
      </rPr>
      <t xml:space="preserve">สูตรในการคำนวณตัวชี้วัด:
</t>
    </r>
    <r>
      <rPr>
        <sz val="14"/>
        <color rgb="FF000000"/>
        <rFont val="Chulabhorn Likit Text Light"/>
        <charset val="134"/>
      </rPr>
      <t>จำนวนผลงานวิจัยตีพิมพ์ในวารสารวิชาการระดับนานาชาติที่อยู่ในฐานข้อมูล Scopus ที่อยู่ใน Q1 หารด้วย
จำนวนผลงานตีพิมพ์ในวารสารวิชาการระดับนานาชาติที่อยู่ในฐานข้อมูล Scopus คูณ 100</t>
    </r>
  </si>
  <si>
    <r>
      <rPr>
        <b/>
        <u/>
        <sz val="14"/>
        <rFont val="Chulabhorn Likit Text Light"/>
        <charset val="134"/>
      </rPr>
      <t>S-KPI 2-1(1)B</t>
    </r>
    <r>
      <rPr>
        <sz val="14"/>
        <rFont val="Chulabhorn Likit Text Light"/>
        <charset val="134"/>
      </rPr>
      <t xml:space="preserve"> ร้อยละจำนวนผลงานตีพิมพ์ Q1 ต่อจำนวนผลงานตีพิมพ์นานาชาติ Q1-Q4 (หน่วย: ร้อยละ/ปี)</t>
    </r>
  </si>
  <si>
    <r>
      <rPr>
        <u/>
        <sz val="14"/>
        <color rgb="FF000000"/>
        <rFont val="Chulabhorn Likit Text Light"/>
        <charset val="134"/>
      </rPr>
      <t xml:space="preserve">สูตรในการคำนวณตัวชี้วัด:
</t>
    </r>
    <r>
      <rPr>
        <sz val="14"/>
        <color rgb="FF000000"/>
        <rFont val="Chulabhorn Likit Text Light"/>
        <charset val="134"/>
      </rPr>
      <t>จำนวนผลงานวิจัยตีพิมพ์ในวารสารวิชาการระดับนานาชาติที่อยู่ในฐานข้อมูล Scopus ที่อยู่ใน Q1 หารด้วยจำนวนอาจารย์ของคณะที่อายุงานมากกว่า 1 ปี คูณ 100</t>
    </r>
  </si>
  <si>
    <r>
      <rPr>
        <b/>
        <u/>
        <sz val="14"/>
        <rFont val="Chulabhorn Likit Text Light"/>
        <charset val="134"/>
      </rPr>
      <t>S-KPI2-1(1)C</t>
    </r>
    <r>
      <rPr>
        <b/>
        <sz val="14"/>
        <rFont val="Chulabhorn Likit Text Light"/>
        <charset val="134"/>
      </rPr>
      <t xml:space="preserve"> </t>
    </r>
    <r>
      <rPr>
        <sz val="14"/>
        <rFont val="Chulabhorn Likit Text Light"/>
        <charset val="134"/>
      </rPr>
      <t>สัดส่วนของผลงานตีพิมพ์ Q1 ต่อจำนวนอาจารย์ (หน่วย: ร้อยละ/ปี)</t>
    </r>
  </si>
  <si>
    <r>
      <rPr>
        <u/>
        <sz val="14"/>
        <rFont val="Chulabhorn Likit Text Light"/>
        <charset val="134"/>
      </rPr>
      <t>U-KPI 2-1(2)</t>
    </r>
    <r>
      <rPr>
        <sz val="14"/>
        <rFont val="Chulabhorn Likit Text Light"/>
        <charset val="134"/>
      </rPr>
      <t xml:space="preserve"> จำนวนผลงานตีพิมพ์ระดับนานาชาติทั้งหมด (หน่วย: ผลงาน/ปี)</t>
    </r>
  </si>
  <si>
    <r>
      <rPr>
        <u/>
        <sz val="14"/>
        <color rgb="FF000000"/>
        <rFont val="Chulabhorn Likit Text Light"/>
        <charset val="134"/>
      </rPr>
      <t>U-KPI 2-1(3)</t>
    </r>
    <r>
      <rPr>
        <sz val="14"/>
        <color rgb="FF000000"/>
        <rFont val="Chulabhorn Likit Text Light"/>
        <charset val="134"/>
      </rPr>
      <t xml:space="preserve"> จำนวนโครงการวิจัยใหม่ที่มีความร่วมมือกับหน่วยงานภายนอก ทั้งในและต่างประเทศ (หน่วย: เรื่อง/ปี)</t>
    </r>
  </si>
  <si>
    <r>
      <rPr>
        <b/>
        <u/>
        <sz val="14"/>
        <color rgb="FF000000"/>
        <rFont val="Chulabhorn Likit Text Light"/>
        <charset val="134"/>
      </rPr>
      <t>S-KPI 2-2(1)</t>
    </r>
    <r>
      <rPr>
        <sz val="14"/>
        <color rgb="FF000000"/>
        <rFont val="Chulabhorn Likit Text Light"/>
        <charset val="134"/>
      </rPr>
      <t xml:space="preserve"> จำนวนผลงานวิจัย นวัตกรรม และต้นแบบผลิตภัณฑ์เชิงปัญญาประดิษฐ์ (หน่วย: เรื่องต่อปี)</t>
    </r>
  </si>
  <si>
    <r>
      <rPr>
        <u/>
        <sz val="14"/>
        <color rgb="FF000000"/>
        <rFont val="Chulabhorn Likit Text Light"/>
        <charset val="134"/>
      </rPr>
      <t>U-KPI 2-2(1)</t>
    </r>
    <r>
      <rPr>
        <sz val="14"/>
        <color rgb="FF000000"/>
        <rFont val="Chulabhorn Likit Text Light"/>
        <charset val="134"/>
      </rPr>
      <t xml:space="preserve"> จำนวนผลงานวิจัยและนวัตกรรมจาก Innovation Hub (หน่วย: ผลงาน/ปี)</t>
    </r>
  </si>
  <si>
    <r>
      <rPr>
        <u/>
        <sz val="12"/>
        <rFont val="Chulabhorn Likit Text Light"/>
        <charset val="134"/>
      </rPr>
      <t>เกณฑ์คะแนนความสำเร็จของ Seamless Research Support System</t>
    </r>
    <r>
      <rPr>
        <sz val="12"/>
        <rFont val="Chulabhorn Likit Text Light"/>
        <charset val="134"/>
      </rPr>
      <t xml:space="preserve">
ระดับที่ 1: มีการพัฒนาฐานข้อมูลสำหรับจัดเก็บข้อมูล
ระดับที่ 2:  มีการพัฒนาฐานข้อมูลสำหรับจัดเก็บข้อมูลและ Dashboard แสดงผลการดำเนินการที่อัปเดตทุกสัปดาห์
ระดับที่ 3: มีการพัฒนาขั้นตอนการขออนุมัติโครงการวิจัย/เบิกจ่ายงบประมาณ/จัดซื้อจัดจ้างในโครงการวิจัย ตลอดจนการขอ EC ให้กระชับและมีกำหนดระยะเวลาชัดเจน
ระดับที่ 4: มีคู่มือขั้นตอนในการบริหารจัดการวิจัยและแบบฟอร์มต่างๆ เผยแพร่ในเว็บคณะเพื่อนักวิจัยเข้าถึงได้สะดวก
ระดับที่ 5: ผู้วิจัยสามารถเข้าถึงข้อมูลด้านการวิจัยผ่านเว็บคณะแบบ One stop service ทั้งข้อมูลที่ใช้ดำเนินการวิจัย ข้อมูลประชาสัมพันธ์ ข้อมูลผลการดำเนินโครงการวิจัย</t>
    </r>
  </si>
  <si>
    <r>
      <rPr>
        <b/>
        <u/>
        <sz val="14"/>
        <rFont val="Chulabhorn Likit Text Light"/>
        <charset val="134"/>
      </rPr>
      <t xml:space="preserve">S-KPI 2-3(1) </t>
    </r>
    <r>
      <rPr>
        <sz val="14"/>
        <rFont val="Chulabhorn Likit Text Light"/>
        <charset val="134"/>
      </rPr>
      <t xml:space="preserve">ความสำเร็จของการพัฒนาระบบบริหารจัดการวิจัยภายในคณะแบบไร้รอยต่อ (Seamless Research Support System) (หน่วย: ระดับคะแนน/ปี)
</t>
    </r>
  </si>
  <si>
    <r>
      <rPr>
        <u/>
        <sz val="14"/>
        <color rgb="FF000000"/>
        <rFont val="Chulabhorn Likit Text Light"/>
        <charset val="134"/>
      </rPr>
      <t>U-KPI 2-3(1)</t>
    </r>
    <r>
      <rPr>
        <sz val="14"/>
        <color rgb="FF000000"/>
        <rFont val="Chulabhorn Likit Text Light"/>
        <charset val="134"/>
      </rPr>
      <t xml:space="preserve"> ร้อยละความพึงพอใจระบบสนับสนุนงานวิจัย ของอาจารย์และนักวิจัย (หน่วย: ร้อยละ/ปี)</t>
    </r>
  </si>
  <si>
    <r>
      <rPr>
        <b/>
        <u/>
        <sz val="14"/>
        <rFont val="Chulabhorn Likit Text Light"/>
        <charset val="134"/>
      </rPr>
      <t>S-KPI 2-4(1)</t>
    </r>
    <r>
      <rPr>
        <sz val="14"/>
        <rFont val="Chulabhorn Likit Text Light"/>
        <charset val="134"/>
      </rPr>
      <t xml:space="preserve"> จำนวนโครงการที่ได้รับเงินทุนวิจัยจากแหล่งทุนภายนอกมากกว่า 3 ล้านบาท (หน่วย: โครงการ/ปี)</t>
    </r>
  </si>
  <si>
    <r>
      <rPr>
        <u/>
        <sz val="14"/>
        <rFont val="Chulabhorn Likit Text Light"/>
        <charset val="134"/>
      </rPr>
      <t>U-KPI 2-4(1)A</t>
    </r>
    <r>
      <rPr>
        <sz val="14"/>
        <rFont val="Chulabhorn Likit Text Light"/>
        <charset val="134"/>
      </rPr>
      <t xml:space="preserve"> จำนวนเงินงบประมาณที่ได้รับจากแหล่งทุนภายนอก (หน่วย: ล้านบาท/ปี)</t>
    </r>
  </si>
  <si>
    <r>
      <rPr>
        <u/>
        <sz val="14"/>
        <rFont val="Chulabhorn Likit Text Light"/>
        <charset val="134"/>
      </rPr>
      <t xml:space="preserve">U-KPI 2-4(1)B </t>
    </r>
    <r>
      <rPr>
        <sz val="14"/>
        <rFont val="Chulabhorn Likit Text Light"/>
        <charset val="134"/>
      </rPr>
      <t>จำนวนเงินงบประมาณที่ได้รับจากแหล่งทุนภายนอกและภายในต่อผู้วิจัย (หน่วย: ล้านบาท/คน/ปี)</t>
    </r>
  </si>
  <si>
    <r>
      <rPr>
        <u/>
        <sz val="14"/>
        <rFont val="Chulabhorn Likit Text Light"/>
        <charset val="134"/>
      </rPr>
      <t>สูตรในการคํานวณตัวชี้วัด:</t>
    </r>
    <r>
      <rPr>
        <sz val="14"/>
        <rFont val="Chulabhorn Likit Text Light"/>
        <charset val="134"/>
      </rPr>
      <t xml:space="preserve"> นับจํานวนผลงานวิจัยและนวัตกรรมที่อยู่ในระดับ TRL/SRL 4-9 ในปีงบประมาณ</t>
    </r>
  </si>
  <si>
    <r>
      <rPr>
        <b/>
        <u/>
        <sz val="14"/>
        <rFont val="Chulabhorn Likit Text Light"/>
        <charset val="134"/>
      </rPr>
      <t>S-KPI 2-4(2)</t>
    </r>
    <r>
      <rPr>
        <sz val="14"/>
        <rFont val="Chulabhorn Likit Text Light"/>
        <charset val="134"/>
      </rPr>
      <t xml:space="preserve"> จำนวนผลงานวิจัย/นวัตกรรมที่ต่อยอดสู่เชิงพาณิชย์ (หน่วย: ผลงาน/ปี)</t>
    </r>
  </si>
  <si>
    <t>Project</t>
  </si>
  <si>
    <t>ยุทธศาสตร์ที่ 3 การมีส่วนร่วมของชุมชนเพื่อส่งเสริมสังคมสุขภาพดี 
(Community Engagement for Promoting Healthy Societies)</t>
  </si>
  <si>
    <t>เป็นคณะแพทยศาสตร์เพื่อชุมชน สร้างความสัมพันธ์ที่ยั่งยืนเพื่อสุขภาพที่ดีของประชาชน โดยเกิดชุมชนสร้างเสริมสุขภาพ</t>
  </si>
  <si>
    <r>
      <t>O3-1</t>
    </r>
    <r>
      <rPr>
        <sz val="14"/>
        <rFont val="Chulabhorn Likit Text Light"/>
        <charset val="134"/>
      </rPr>
      <t xml:space="preserve"> สร้างภาคีเครือข่ายและกลไกในการพัฒนาชุมชนสร้างเสริมสังคมสุขภาพดีอย่างเป็นระบบและยั่งยืน</t>
    </r>
  </si>
  <si>
    <r>
      <t xml:space="preserve">O3-2 </t>
    </r>
    <r>
      <rPr>
        <sz val="14"/>
        <rFont val="Chulabhorn Likit Text Light"/>
        <charset val="134"/>
      </rPr>
      <t>ส่งเสริมสุขภาพชุมชนด้วยความรู้ด้านวิชาการและเทคโนโลยีทางด้านการแพทย์</t>
    </r>
  </si>
  <si>
    <r>
      <t>O3-3</t>
    </r>
    <r>
      <rPr>
        <sz val="14"/>
        <rFont val="Chulabhorn Likit Text Light"/>
        <charset val="134"/>
      </rPr>
      <t xml:space="preserve"> ยกระดับชุมชนสู่แหล่งการเรียนรู้และวิจัยด้านสุขภาพ</t>
    </r>
  </si>
  <si>
    <r>
      <rPr>
        <b/>
        <sz val="14"/>
        <color theme="1"/>
        <rFont val="Chulabhorn Likit Text Light"/>
        <charset val="134"/>
      </rPr>
      <t>KR-OP 3-1</t>
    </r>
    <r>
      <rPr>
        <sz val="14"/>
        <color theme="1"/>
        <rFont val="Chulabhorn Likit Text Light"/>
        <charset val="134"/>
      </rPr>
      <t xml:space="preserve"> มีภาคีเครือข่ายเพื่อพัฒนากลไกสร้างเสริมสุขภาพชุมชนอย่างเป็นระบบ อย่างน้อย 2 องค์กร</t>
    </r>
  </si>
  <si>
    <r>
      <rPr>
        <b/>
        <sz val="14"/>
        <color theme="1"/>
        <rFont val="Chulabhorn Likit Text Light"/>
        <charset val="134"/>
      </rPr>
      <t>KR-OP 3-2</t>
    </r>
    <r>
      <rPr>
        <sz val="14"/>
        <color theme="1"/>
        <rFont val="Chulabhorn Likit Text Light"/>
        <charset val="134"/>
      </rPr>
      <t xml:space="preserve"> มีกิจกรรมหรือโครงการด้านสุขภาพที่ดำเนินการโดยชุมชนหรือภาคีเครือข่าย อย่างน้อย 1 โครงการต่อปี</t>
    </r>
  </si>
  <si>
    <r>
      <rPr>
        <b/>
        <sz val="14"/>
        <color theme="1"/>
        <rFont val="Chulabhorn Likit Text Light"/>
        <charset val="134"/>
      </rPr>
      <t xml:space="preserve">KR-OP 3-3 </t>
    </r>
    <r>
      <rPr>
        <sz val="14"/>
        <color theme="1"/>
        <rFont val="Chulabhorn Likit Text Light"/>
        <charset val="134"/>
      </rPr>
      <t>มีผลงานด้านการศึกษาและวิจัยเพื่อสร้างการเปลี่ยนแปลงด้านสุขภาพในชุมชน อย่างน้อย 1 ผลงานต่อปี</t>
    </r>
  </si>
  <si>
    <r>
      <rPr>
        <b/>
        <sz val="14"/>
        <color theme="1"/>
        <rFont val="Chulabhorn Likit Text Light"/>
        <charset val="134"/>
      </rPr>
      <t>KR-OP 3-4</t>
    </r>
    <r>
      <rPr>
        <sz val="14"/>
        <color theme="1"/>
        <rFont val="Chulabhorn Likit Text Light"/>
        <charset val="134"/>
      </rPr>
      <t xml:space="preserve"> มีชุมชนที่เป็นแหล่งเรียนรู้และวิจัยด้านสุขภาพ อย่างน้อย 2 ชุมชน</t>
    </r>
  </si>
  <si>
    <r>
      <rPr>
        <b/>
        <sz val="14"/>
        <color theme="1"/>
        <rFont val="Chulabhorn Likit Text Light"/>
        <charset val="134"/>
      </rPr>
      <t>KR-OC 3-1</t>
    </r>
    <r>
      <rPr>
        <sz val="14"/>
        <color theme="1"/>
        <rFont val="Chulabhorn Likit Text Light"/>
        <charset val="134"/>
      </rPr>
      <t xml:space="preserve"> มีเครือข่ายชุมชนที่เข้มแข็งและมีสัมพันธภาพอย่างยั่งยืน</t>
    </r>
  </si>
  <si>
    <r>
      <rPr>
        <b/>
        <sz val="14"/>
        <color theme="1"/>
        <rFont val="Chulabhorn Likit Text Light"/>
        <charset val="134"/>
      </rPr>
      <t>KR-OC 3-2</t>
    </r>
    <r>
      <rPr>
        <sz val="14"/>
        <color theme="1"/>
        <rFont val="Chulabhorn Likit Text Light"/>
        <charset val="134"/>
      </rPr>
      <t xml:space="preserve"> เกิดชุมชนต้นแบบในการสร้างเสริมสุขภาพและเป็นที่ยอมรับระดับประเทศ</t>
    </r>
  </si>
  <si>
    <r>
      <rPr>
        <b/>
        <sz val="14"/>
        <color theme="1"/>
        <rFont val="Chulabhorn Likit Text Light"/>
        <charset val="134"/>
      </rPr>
      <t>KR-OC 3-3</t>
    </r>
    <r>
      <rPr>
        <sz val="14"/>
        <color theme="1"/>
        <rFont val="Chulabhorn Likit Text Light"/>
        <charset val="134"/>
      </rPr>
      <t xml:space="preserve"> ชุมชนที่เป็นแหล่งการเรียนรู้และวิจัยด้านสุขภาพ มีระดับดัชนีสุขภาวะที่ดีขึ้น</t>
    </r>
  </si>
  <si>
    <r>
      <rPr>
        <b/>
        <u/>
        <sz val="14"/>
        <color theme="1"/>
        <rFont val="Chulabhorn Likit Text Light"/>
        <charset val="134"/>
      </rPr>
      <t>S-KPI 3-1(1)</t>
    </r>
    <r>
      <rPr>
        <sz val="14"/>
        <color theme="1"/>
        <rFont val="Chulabhorn Likit Text Light"/>
        <charset val="134"/>
      </rPr>
      <t xml:space="preserve"> จำนวนภาคีเครือข่ายเพื่อพัฒนาสร้างเสริมสุขภาพชุมชนอย่างเป็นระบบ (หน่วย: องค์กร/ปี) </t>
    </r>
  </si>
  <si>
    <r>
      <rPr>
        <u/>
        <sz val="14"/>
        <rFont val="Chulabhorn Likit Text Light"/>
        <charset val="134"/>
      </rPr>
      <t>U-KPI 3-1(2)</t>
    </r>
    <r>
      <rPr>
        <sz val="14"/>
        <rFont val="Chulabhorn Likit Text Light"/>
        <charset val="134"/>
      </rPr>
      <t xml:space="preserve"> จำนวนโครงการหรือกิจกรรมด้านสุขภาพที่ดำเนินการโดยชุมชนหรือภาคีเครือข่าย (หน่วย: โครงการ/ปี) (นับโครงการใหม่)</t>
    </r>
  </si>
  <si>
    <r>
      <rPr>
        <b/>
        <u/>
        <sz val="14"/>
        <color theme="1"/>
        <rFont val="Chulabhorn Likit Text Light"/>
        <charset val="134"/>
      </rPr>
      <t>S-KPI 3-2(1)</t>
    </r>
    <r>
      <rPr>
        <sz val="14"/>
        <color theme="1"/>
        <rFont val="Chulabhorn Likit Text Light"/>
        <charset val="134"/>
      </rPr>
      <t xml:space="preserve"> จำนวนผลิตภัณฑ์ชุมชนเพื่อการส่งเสริมสุขภาพ (หน่วย: ผลิตภัณฑ์/ชุมชน/ปี) (สะสม)</t>
    </r>
  </si>
  <si>
    <r>
      <rPr>
        <b/>
        <u/>
        <sz val="14"/>
        <color rgb="FF000000"/>
        <rFont val="Chulabhorn Likit Text Light"/>
        <charset val="134"/>
      </rPr>
      <t>S-KPI 3-3(1)A</t>
    </r>
    <r>
      <rPr>
        <sz val="14"/>
        <color rgb="FF000000"/>
        <rFont val="Chulabhorn Likit Text Light"/>
        <charset val="134"/>
      </rPr>
      <t xml:space="preserve"> คุณภาพชีวิตในระดับชุมชน มีระดับดีขึ้นมากกว่าร้อยละ 10 ใน 5 ปี (หน่วย: ร้อยละ/ปี)</t>
    </r>
  </si>
  <si>
    <r>
      <rPr>
        <u/>
        <sz val="14"/>
        <color rgb="FF000000"/>
        <rFont val="Chulabhorn Likit Text Light"/>
        <charset val="134"/>
      </rPr>
      <t>สูตรในการคำนวณตัวชี้วัด:</t>
    </r>
    <r>
      <rPr>
        <sz val="14"/>
        <color rgb="FF000000"/>
        <rFont val="Chulabhorn Likit Text Light"/>
        <charset val="134"/>
      </rPr>
      <t xml:space="preserve">
นับจำนวนบริการสุขภาพที่ร่วมมือกับส่วนงานภายในหรือองค์กรภายนอก ที่มีผลการดำเนินงานอันเป็นประโยชน์ต่อชุมชน สังคม
และเป็นหนึ่งในต้นแบบของประเทศ โดยได้รับรางวัลระดับชาติหรือนานาชาติ เช่น รางวัลเลิศรัตน์</t>
    </r>
  </si>
  <si>
    <r>
      <rPr>
        <b/>
        <u/>
        <sz val="14"/>
        <color theme="1"/>
        <rFont val="Chulabhorn Likit Text Light"/>
        <charset val="134"/>
      </rPr>
      <t>S-KPI 3-3(1)B</t>
    </r>
    <r>
      <rPr>
        <sz val="14"/>
        <color theme="1"/>
        <rFont val="Chulabhorn Likit Text Light"/>
        <charset val="134"/>
      </rPr>
      <t xml:space="preserve"> จำนวนการบริการสุขภาพ ที่ร่วมมือกับองค์กรภายในและภายนอก ที่มีผลการดำเนินงานอันเป็นประโยชน์ต่อชุมชน สังคม และเป็นหนึ่งในต้นแบบของประเทศ (สะสม) (หน่วย: ผลงาน/ปี)</t>
    </r>
  </si>
  <si>
    <r>
      <rPr>
        <u/>
        <sz val="14"/>
        <color rgb="FF000000"/>
        <rFont val="Chulabhorn Likit Text Light"/>
        <charset val="134"/>
      </rPr>
      <t>U-KPI 3-3(1)A</t>
    </r>
    <r>
      <rPr>
        <sz val="14"/>
        <color rgb="FF000000"/>
        <rFont val="Chulabhorn Likit Text Light"/>
        <charset val="134"/>
      </rPr>
      <t xml:space="preserve"> มีผลงานด้านการศึกษาหรือวิจัยเพื่อสร้างการเปลี่ยนแปลงด้านสุขภาพในชุมชน (หน่วย: ผลงาน/ปี)</t>
    </r>
  </si>
  <si>
    <r>
      <rPr>
        <u/>
        <sz val="14"/>
        <color rgb="FF000000"/>
        <rFont val="Chulabhorn Likit Text Light"/>
        <charset val="134"/>
      </rPr>
      <t>U-KPI 3-3(1)B</t>
    </r>
    <r>
      <rPr>
        <sz val="14"/>
        <color rgb="FF000000"/>
        <rFont val="Chulabhorn Likit Text Light"/>
        <charset val="134"/>
      </rPr>
      <t xml:space="preserve"> ผลการดำเนินงานของชุมชนได้รับเข้าร่วมการประกวดในโครงการพัฒนาสุขภาพชุมชน (หน่วย:โครงการหรือผลงาน/ปี) </t>
    </r>
  </si>
  <si>
    <t>ยุทธศาสตร์ที่ 4 : เป็นองค์กรสมรรถนะสูง ที่ขับเคลื่อนด้วยข้อมูล อย่างมีประสิทธิภาพ เพื่อความยั่งยืน 
(A high-performance organization driven by data efficiently for sustainability)</t>
  </si>
  <si>
    <t>เป็นองค์กรที่มีประสิทธิภาพ ขับเคลื่อนด้วยข้อมูล เพื่อความเป็นเลิศและยั่งยืน โดยสามารถผ่านเกณฑ์ EdPEX300</t>
  </si>
  <si>
    <r>
      <t>O4-1</t>
    </r>
    <r>
      <rPr>
        <sz val="14"/>
        <rFont val="Chulabhorn Likit Text Light"/>
        <charset val="134"/>
      </rPr>
      <t xml:space="preserve"> พัฒนา Platform แบบบูรณาการที่มีประสิทธิภาพและมั่นคงปลอดภัย</t>
    </r>
  </si>
  <si>
    <r>
      <t xml:space="preserve">O4-2 </t>
    </r>
    <r>
      <rPr>
        <sz val="14"/>
        <rFont val="Chulabhorn Likit Text Light"/>
        <charset val="134"/>
      </rPr>
      <t>มุ่งเน้นความเป็นเลิศของมนุษย์</t>
    </r>
  </si>
  <si>
    <r>
      <t>O4-3</t>
    </r>
    <r>
      <rPr>
        <sz val="14"/>
        <rFont val="Chulabhorn Likit Text Light"/>
        <charset val="134"/>
      </rPr>
      <t xml:space="preserve"> เสริมเสถียรภาพทางการเงินการคลัง ให้มีความมั่นคงในระยะยาวมีแผนติดตาม การใช้งบประมาณอย่างมีประสิทธิภาพ</t>
    </r>
  </si>
  <si>
    <r>
      <rPr>
        <b/>
        <sz val="14"/>
        <rFont val="Chulabhorn Likit Text Light"/>
        <charset val="134"/>
      </rPr>
      <t>KR-OP 4-1</t>
    </r>
    <r>
      <rPr>
        <sz val="14"/>
        <rFont val="Chulabhorn Likit Text Light"/>
        <charset val="134"/>
      </rPr>
      <t xml:space="preserve"> มีโครงสร้างพื้นฐานดิจิทัลและการให้บริการสนับสนุนด้านเทคโนโลยีสารสนเทศที่เป็นระบบ ครอบคลุมทุกพันธกิจ ภายในปี 2570</t>
    </r>
  </si>
  <si>
    <r>
      <rPr>
        <b/>
        <sz val="14"/>
        <rFont val="Chulabhorn Likit Text Light"/>
        <charset val="134"/>
      </rPr>
      <t>KR-OP 4-2</t>
    </r>
    <r>
      <rPr>
        <sz val="14"/>
        <rFont val="Chulabhorn Likit Text Light"/>
        <charset val="134"/>
      </rPr>
      <t xml:space="preserve"> ผู้บริหาร หรือคณะกรรมการ มีการใช้ระบบข้อมูลจากฐานข้อมูลกลางพร้อม AI analytics สนับสนุนการตัดสินใจ  (ความถี่ในการใช้ 2568: ไตรมาสละ 1 ครั้ง, 2569: เดือนละ 1 ครั้ง, 2570 ครอบคลุมการประชุมในระดับบริหาร ไม่น้อยกว่า ร้อยละ 80)</t>
    </r>
  </si>
  <si>
    <r>
      <rPr>
        <b/>
        <sz val="14"/>
        <rFont val="Chulabhorn Likit Text Light"/>
        <charset val="134"/>
      </rPr>
      <t>KR-OP 4-3</t>
    </r>
    <r>
      <rPr>
        <sz val="14"/>
        <rFont val="Chulabhorn Likit Text Light"/>
        <charset val="134"/>
      </rPr>
      <t xml:space="preserve"> ขับเคลื่อนโยบายที่สอดคล้อง ESG, Green university และ Net Zero Emission อย่างต่อเนื่อง</t>
    </r>
  </si>
  <si>
    <r>
      <rPr>
        <b/>
        <sz val="14"/>
        <rFont val="Chulabhorn Likit Text Light"/>
        <charset val="134"/>
      </rPr>
      <t>KR-OP 4-4</t>
    </r>
    <r>
      <rPr>
        <sz val="14"/>
        <rFont val="Chulabhorn Likit Text Light"/>
        <charset val="134"/>
      </rPr>
      <t xml:space="preserve"> มีระบบการจัดการความรู้ในองค์กร ที่สามารถถ่ายทอดการเรียนรู้ในองค์กร อย่างน้อย 1 ระบบ</t>
    </r>
  </si>
  <si>
    <r>
      <rPr>
        <b/>
        <sz val="14"/>
        <rFont val="Chulabhorn Likit Text Light"/>
        <charset val="134"/>
      </rPr>
      <t>KR-OP 4-5</t>
    </r>
    <r>
      <rPr>
        <sz val="14"/>
        <rFont val="Chulabhorn Likit Text Light"/>
        <charset val="134"/>
      </rPr>
      <t xml:space="preserve"> บุคลากรผ่านการประเมิน Digital Literacy ร้อยละ 100 ภายในปี 2570</t>
    </r>
  </si>
  <si>
    <r>
      <rPr>
        <b/>
        <sz val="14"/>
        <rFont val="Chulabhorn Likit Text Light"/>
        <charset val="134"/>
      </rPr>
      <t>KR-OP 4-6</t>
    </r>
    <r>
      <rPr>
        <sz val="14"/>
        <rFont val="Chulabhorn Likit Text Light"/>
        <charset val="134"/>
      </rPr>
      <t xml:space="preserve"> บุคลากรสายวิชาการ สายวิชาชีพ และสายสนับสนุนได้รับ การกําหนดเส้นทางความก้าวหน้า (Career Path) ของบุคลากรอย่างชัดเจน</t>
    </r>
  </si>
  <si>
    <r>
      <rPr>
        <b/>
        <sz val="14"/>
        <rFont val="Chulabhorn Likit Text Light"/>
        <charset val="134"/>
      </rPr>
      <t>KR-OP 4-7</t>
    </r>
    <r>
      <rPr>
        <sz val="14"/>
        <rFont val="Chulabhorn Likit Text Light"/>
        <charset val="134"/>
      </rPr>
      <t xml:space="preserve"> มีสัดส่วนรายได้ที่เพิ่มขึ้นจากทุกช่องทางอย่างน้อยร้อยละ 10 ต่อปี</t>
    </r>
  </si>
  <si>
    <r>
      <rPr>
        <b/>
        <sz val="14"/>
        <rFont val="Chulabhorn Likit Text Light"/>
        <charset val="134"/>
      </rPr>
      <t>KR-OP 4-8</t>
    </r>
    <r>
      <rPr>
        <sz val="14"/>
        <rFont val="Chulabhorn Likit Text Light"/>
        <charset val="134"/>
      </rPr>
      <t xml:space="preserve"> การใช้จ่ายงบประมาณแผ่นดินและงบประมาณรายได้ มีประสิทธิภาพมากกว่าร้อยละ 90 ภายในปี 2570</t>
    </r>
  </si>
  <si>
    <r>
      <rPr>
        <b/>
        <sz val="14"/>
        <rFont val="Chulabhorn Likit Text Light"/>
        <charset val="134"/>
      </rPr>
      <t>KR-OC 4-1</t>
    </r>
    <r>
      <rPr>
        <sz val="14"/>
        <rFont val="Chulabhorn Likit Text Light"/>
        <charset val="134"/>
      </rPr>
      <t xml:space="preserve"> ผ่านการประเมินการประกันคุณภาพประจำปีตามรูปแบบมาตรฐาน EdPEX300 ใน 6 ปี</t>
    </r>
  </si>
  <si>
    <r>
      <rPr>
        <b/>
        <sz val="14"/>
        <rFont val="Chulabhorn Likit Text Light"/>
        <charset val="134"/>
      </rPr>
      <t>KR-OC-4-2</t>
    </r>
    <r>
      <rPr>
        <sz val="14"/>
        <rFont val="Chulabhorn Likit Text Light"/>
        <charset val="134"/>
      </rPr>
      <t xml:space="preserve"> ผ่าน Green Office ในปี 2570</t>
    </r>
  </si>
  <si>
    <r>
      <rPr>
        <b/>
        <u/>
        <sz val="14"/>
        <rFont val="Chulabhorn Likit Text Light"/>
        <charset val="134"/>
      </rPr>
      <t xml:space="preserve">S-KPI 4-1(1)A </t>
    </r>
    <r>
      <rPr>
        <sz val="14"/>
        <rFont val="Chulabhorn Likit Text Light"/>
        <charset val="134"/>
      </rPr>
      <t xml:space="preserve">ร้อยละของระบบ Integrated Management Platform: IMP หรือ ระบบ Executive Information System: EIS ครอบคลุมงานหลักภายใน คณะ (หน่วย: ร้อยละ/ ปี)
</t>
    </r>
  </si>
  <si>
    <r>
      <rPr>
        <u/>
        <sz val="14"/>
        <rFont val="Chulabhorn Likit Text Light"/>
        <charset val="134"/>
      </rPr>
      <t>เกณฑ์การประเมิน:</t>
    </r>
    <r>
      <rPr>
        <sz val="14"/>
        <rFont val="Chulabhorn Likit Text Light"/>
        <charset val="134"/>
      </rPr>
      <t xml:space="preserve">
นับจำนวนระบบงานที่มีการติดตาม  Process KPI/ จำนวนระบบงานทั้งหมดตามโครงสร้าง 13 ระบบงาน x 100
(สามารถนำเสนอได้อย่างเป็นรูปธรรมทุกรูปแบบทั้ง Dashboard Power BI/ Excel/รายงานความคืบหน้าประจำเดือน)</t>
    </r>
  </si>
  <si>
    <r>
      <rPr>
        <b/>
        <u/>
        <sz val="14"/>
        <rFont val="Chulabhorn Likit Text Light"/>
        <charset val="134"/>
      </rPr>
      <t>S-KPI 4-1(1)B</t>
    </r>
    <r>
      <rPr>
        <sz val="14"/>
        <rFont val="Chulabhorn Likit Text Light"/>
        <charset val="134"/>
      </rPr>
      <t xml:space="preserve"> ร้อยละของระบบงานที่มีการติดตาม Process KPI ให้เห็นอย่างเป็นรูปธรรม (หน่วย: ร้อยละ/ ปี)</t>
    </r>
  </si>
  <si>
    <r>
      <rPr>
        <u/>
        <sz val="14"/>
        <rFont val="Chulabhorn Likit Text Light"/>
        <charset val="134"/>
      </rPr>
      <t>U-KPI 4-1(1)A</t>
    </r>
    <r>
      <rPr>
        <sz val="14"/>
        <rFont val="Chulabhorn Likit Text Light"/>
        <charset val="134"/>
      </rPr>
      <t xml:space="preserve"> ระดับคะแนนความสำเร็จของระบบสนับสนุน (Integrated Management Platform) (หน่วย: ระดับคะแนน/ ปี)</t>
    </r>
  </si>
  <si>
    <r>
      <rPr>
        <u/>
        <sz val="14"/>
        <rFont val="Chulabhorn Likit Text Light"/>
        <charset val="134"/>
      </rPr>
      <t>U-KPI 4-1(1)B</t>
    </r>
    <r>
      <rPr>
        <sz val="14"/>
        <rFont val="Chulabhorn Likit Text Light"/>
        <charset val="134"/>
      </rPr>
      <t xml:space="preserve"> ระดับคะแนนความสำเร็จของระบบสนับสนุน (Integrated Management Platform) (หน่วย: คะแนน/ ปี)</t>
    </r>
  </si>
  <si>
    <r>
      <rPr>
        <u/>
        <sz val="14"/>
        <rFont val="Chulabhorn Likit Text Light"/>
        <charset val="134"/>
      </rPr>
      <t>U-KPI 4-1(1)C</t>
    </r>
    <r>
      <rPr>
        <sz val="14"/>
        <rFont val="Chulabhorn Likit Text Light"/>
        <charset val="134"/>
      </rPr>
      <t xml:space="preserve"> ร้อยละของระยะเวลาในการบริหารจัดการระบบ IT Service ลดลงร้อยละ 30 ภายในปี 2570 (หน่วย: ร้อยละ/ปี)</t>
    </r>
  </si>
  <si>
    <r>
      <rPr>
        <u/>
        <sz val="14"/>
        <rFont val="Chulabhorn Likit Text Light"/>
        <charset val="134"/>
      </rPr>
      <t>U-KPI 4-1(1)D</t>
    </r>
    <r>
      <rPr>
        <sz val="14"/>
        <rFont val="Chulabhorn Likit Text Light"/>
        <charset val="134"/>
      </rPr>
      <t xml:space="preserve"> ร้อยละของระยะเวลาในการบริหารจัดการระบบ PA ลดลงร้อยละ 30 ภายในปี 2570 (หน่วย: ร้อยละ/ปี)</t>
    </r>
  </si>
  <si>
    <r>
      <rPr>
        <b/>
        <u/>
        <sz val="14"/>
        <rFont val="Chulabhorn Likit Text Light"/>
        <charset val="134"/>
      </rPr>
      <t>S-KPI 4-2(1)</t>
    </r>
    <r>
      <rPr>
        <sz val="14"/>
        <rFont val="Chulabhorn Likit Text Light"/>
        <charset val="134"/>
      </rPr>
      <t xml:space="preserve"> ร้อยละผ่านการทดสอบระบบ Smart Classroom รองรับการเรียนการสอนแบบ Hybrid Learning และรองรับการควบคุมสั่งกลางจากศูนย์ควบคุมสั่งการด้านการเรียนการสอน (โซน 8B) (หน่วย: ร้อยละ ของห้องเรียนทั้งหมด/ ปี)</t>
    </r>
  </si>
  <si>
    <r>
      <rPr>
        <u/>
        <sz val="14"/>
        <rFont val="Chulabhorn Likit Text Light"/>
        <charset val="134"/>
      </rPr>
      <t>U-KPI 4-2(1)A</t>
    </r>
    <r>
      <rPr>
        <sz val="14"/>
        <rFont val="Chulabhorn Likit Text Light"/>
        <charset val="134"/>
      </rPr>
      <t xml:space="preserve"> ระดับความพึงพอใจผู้ใช้งานระบบ สำหรับห้องประชุม และห้อง tutorial ทั้งอาจารย์และนักศึกษา (มากกว่าหรือเท่ากับ 3.5 จากคะแนนเต็ม 5) (หน่วย: ระดับคะแนน/ ปี)</t>
    </r>
  </si>
  <si>
    <r>
      <rPr>
        <u/>
        <sz val="14"/>
        <rFont val="Chulabhorn Likit Text Light"/>
        <charset val="134"/>
      </rPr>
      <t>U-KPI 4-2(2)B</t>
    </r>
    <r>
      <rPr>
        <sz val="14"/>
        <rFont val="Chulabhorn Likit Text Light"/>
        <charset val="134"/>
      </rPr>
      <t xml:space="preserve"> ระดับความพึงพอใจผู้ใช้งานต่อ Smart Classroom ทั้งอาจารย์และนักศึกษา (มากกว่าหรือเท่ากับ 3.5 จากคะแนนเต็ม 5)  (หน่วย: ระดับคะแนน/ ปี)</t>
    </r>
  </si>
  <si>
    <r>
      <rPr>
        <u/>
        <sz val="14"/>
        <rFont val="Chulabhorn Likit Text Light"/>
        <charset val="134"/>
      </rPr>
      <t>U-KPI 4-2(3)C</t>
    </r>
    <r>
      <rPr>
        <sz val="14"/>
        <rFont val="Chulabhorn Likit Text Light"/>
        <charset val="134"/>
      </rPr>
      <t xml:space="preserve"> ระดับความพึงพอใจผู้ใช้งานห้องสมุด และระบบสนับสนุนของผู้มาใช้งาน (มากกว่าหรือเท่ากับ 3.5 จากคะแนนเต็ม 5) (หน่วย: ระดับคะแนน/ ปี)</t>
    </r>
  </si>
  <si>
    <r>
      <rPr>
        <u/>
        <sz val="14"/>
        <rFont val="Chulabhorn Likit Text Light"/>
        <charset val="134"/>
      </rPr>
      <t>สูตรในการคำนวณตัวชี้วัด</t>
    </r>
    <r>
      <rPr>
        <sz val="14"/>
        <rFont val="Chulabhorn Likit Text Light"/>
        <charset val="134"/>
      </rPr>
      <t xml:space="preserve">
การเก็บรวบรวมจำนวนสื่อที่ตอบสนองโครงการ MOOC ซึ่งเป็นรายวิชาในหลักสูตรใหม่ทุกระดับชั้น หรือเป็นหลักสูตรระยะสั้น และ Credit Bank บูรณาการ </t>
    </r>
  </si>
  <si>
    <r>
      <rPr>
        <b/>
        <u/>
        <sz val="14"/>
        <rFont val="Chulabhorn Likit Text Light"/>
        <charset val="134"/>
      </rPr>
      <t>S-KPI 4-2(2)</t>
    </r>
    <r>
      <rPr>
        <sz val="14"/>
        <rFont val="Chulabhorn Likit Text Light"/>
        <charset val="134"/>
      </rPr>
      <t xml:space="preserve"> จำนวนสื่อการเรียนการสอนที่ผลิตจากห้องสตูดิโอ (โซน 8B) ที่ตอบสนองต่อหลักสูตรตรี</t>
    </r>
    <r>
      <rPr>
        <sz val="14"/>
        <rFont val="Arial"/>
        <charset val="134"/>
      </rPr>
      <t></t>
    </r>
    <r>
      <rPr>
        <sz val="14"/>
        <rFont val="Chulabhorn Likit Text Light"/>
        <charset val="134"/>
      </rPr>
      <t xml:space="preserve"> โท เอก ระยะสั้น และ Credit Bank บูรณาการ Flexible Time Fixed Competency ด้าน HC เรียนรู้ Anytime Anywhere ท่ามกลางการทำงานตามความต้องการของสังคมและประเทศชาติ (หน่วย: จำนวนสื่อ/ปี)</t>
    </r>
  </si>
  <si>
    <r>
      <rPr>
        <u/>
        <sz val="14"/>
        <rFont val="Chulabhorn Likit Text Light"/>
        <charset val="134"/>
      </rPr>
      <t>U-KPI 4-2(2)A</t>
    </r>
    <r>
      <rPr>
        <sz val="14"/>
        <rFont val="Chulabhorn Likit Text Light"/>
        <charset val="134"/>
      </rPr>
      <t xml:space="preserve"> จำนวนสื่อการเรียนการสอนที่ผลิตจากห้องสตูดิโอ (โซน 8B) (หน่วย: จำนวนสื่อ/ปี)</t>
    </r>
  </si>
  <si>
    <r>
      <rPr>
        <u/>
        <sz val="14"/>
        <rFont val="Chulabhorn Likit Text Light"/>
        <charset val="134"/>
      </rPr>
      <t>U-KPI 4-2(2)B</t>
    </r>
    <r>
      <rPr>
        <sz val="14"/>
        <rFont val="Chulabhorn Likit Text Light"/>
        <charset val="134"/>
      </rPr>
      <t xml:space="preserve"> ระดับความพึงพอใจผู้ใช้งานห้องสตูดิโอ และระบบสตูดิโอเสมือน (มากกว่าหรือเท่ากับ 3.5 จากคะแนนเต็ม 5) (หน่วย: ระดับคะแนน/ ปี)</t>
    </r>
  </si>
  <si>
    <r>
      <rPr>
        <sz val="14"/>
        <rFont val="Chulabhorn Likit Text Light"/>
        <charset val="134"/>
      </rPr>
      <t xml:space="preserve">P 4-3(1) โครงการส่งเสริมการปฏิบัติสู่สำนักงานสีเขียว (Green Office)
</t>
    </r>
    <r>
      <rPr>
        <sz val="12"/>
        <rFont val="Chulabhorn Likit Text Light"/>
        <charset val="134"/>
      </rPr>
      <t xml:space="preserve"> - กำหนดนโยบายสิ่งแวดล้อม
 - จัดตั้งคณะทำงานด้านสิ่งแวดล้อม
 - ระบุประเด็นปัญหาทรัพยากร และสิ่งแวดล้อม
 - กฎหมายและข้อกำหนดอื่นๆ ที่เกี่ยวข้อง
 - ข้อมูลก๊าซเรือนกระจก
 - จัดสภาพแวดล้อมและความปลอดภัย อากาศ แสงเสียง ความน่าอยู่ ในสำนักงาน  
 - การสื่อสารและสร้างจิตสำนึก โดย การรณรงค์และประชาสัมพันธ์แก่บุคลากรคณะ และจัดอบรมให้ความรู้และประเมินความเข้าใจ
 - การตรวจประเมินสำนักงานสีเขียวภายในสำนักงาน
 - การทบทวนฝ่ายบริหาร
 - จัดทำแผนงานโครงการที่นำไปสู่การปรับปรุงอย่างต่อเนื่อง 
 - แผนการเตรียมพร้อมต่อสภาวะฉุกเฉิน
 - จัดทำฐานข้อมูลการใช้น้ำ
การใช้พลังงาน การใช้ทรัพยากรอื่น ๆ การจัดการของเสีย
 - การจัดซื้อและจัดจ้างที่เป็นมิตรกับสิ่งแวดล้อม
 - เก็บข้อมูลในฐานข้อมูลการเบิกพัสดุ</t>
    </r>
  </si>
  <si>
    <r>
      <rPr>
        <b/>
        <u/>
        <sz val="14"/>
        <rFont val="Chulabhorn Likit Text Light"/>
        <charset val="134"/>
      </rPr>
      <t>S-KPI 4-3(1)</t>
    </r>
    <r>
      <rPr>
        <sz val="14"/>
        <rFont val="Chulabhorn Likit Text Light"/>
        <charset val="134"/>
      </rPr>
      <t xml:space="preserve"> ระดับความสำเร็จของการยื่นขอ Green Office (หน่วย: คะแนน/ ปี)</t>
    </r>
  </si>
  <si>
    <r>
      <rPr>
        <u/>
        <sz val="14"/>
        <rFont val="Chulabhorn Likit Text Light"/>
        <charset val="134"/>
      </rPr>
      <t>เกณฑ์การประเมิน:</t>
    </r>
    <r>
      <rPr>
        <sz val="14"/>
        <rFont val="Chulabhorn Likit Text Light"/>
        <charset val="134"/>
      </rPr>
      <t xml:space="preserve">
ปริมาณที่ลดการปล่อยคาร์บอนไดออกไซด์สะสม (จาก Waste Buy Delivery App หรือแอปพลิเคชั่นอื่นๆ ที่เกี่ยวข้อง)</t>
    </r>
  </si>
  <si>
    <r>
      <rPr>
        <b/>
        <u/>
        <sz val="14"/>
        <rFont val="Chulabhorn Likit Text Light"/>
        <charset val="134"/>
      </rPr>
      <t>S-KPI 4-3(2)</t>
    </r>
    <r>
      <rPr>
        <sz val="14"/>
        <rFont val="Chulabhorn Likit Text Light"/>
        <charset val="134"/>
      </rPr>
      <t xml:space="preserve"> ปริมาณที่ลดการปล่อยคาร์บอนไดออกไซด์สะสม (หน่วย: KgCO2e/ปี)</t>
    </r>
  </si>
  <si>
    <r>
      <rPr>
        <u/>
        <sz val="14"/>
        <rFont val="Chulabhorn Likit Text Light"/>
        <charset val="134"/>
      </rPr>
      <t>เกณฑ์การประเมิน:</t>
    </r>
    <r>
      <rPr>
        <sz val="14"/>
        <rFont val="Chulabhorn Likit Text Light"/>
        <charset val="134"/>
      </rPr>
      <t xml:space="preserve">
จำนวนระบบงานตามโครงสร้าง =  13 ระบบงาน
ปี 2568 Paperless 4 งาน 
ปี 2569 Paperless 6 งาน 
ปี 2570 Paperless 10 งาน
เปรียบเทียบกับสถิติปริมาณเบิกกระดาษ Based line ย้อนหลัง 3 ปี (2565-2567) </t>
    </r>
  </si>
  <si>
    <r>
      <rPr>
        <u/>
        <sz val="14"/>
        <rFont val="Chulabhorn Likit Text Light"/>
        <charset val="134"/>
      </rPr>
      <t>U-KPI 4-3(3)A</t>
    </r>
    <r>
      <rPr>
        <sz val="14"/>
        <rFont val="Chulabhorn Likit Text Light"/>
        <charset val="134"/>
      </rPr>
      <t xml:space="preserve"> ร้อยละของระบบงานของสำนักงานคณบดีที่ดำเนินการสำเร็จตามนโยบาย Paperless Office (หน่วย: ร้อยละ/ปี)</t>
    </r>
    <r>
      <rPr>
        <b/>
        <u/>
        <sz val="14"/>
        <rFont val="Chulabhorn Likit Text Light"/>
        <charset val="134"/>
      </rPr>
      <t xml:space="preserve">
</t>
    </r>
  </si>
  <si>
    <r>
      <rPr>
        <u/>
        <sz val="14"/>
        <rFont val="Chulabhorn Likit Text Light"/>
        <charset val="134"/>
      </rPr>
      <t>U-KPI 4-3(3)B</t>
    </r>
    <r>
      <rPr>
        <sz val="14"/>
        <rFont val="Chulabhorn Likit Text Light"/>
        <charset val="134"/>
      </rPr>
      <t xml:space="preserve"> ร้อยละของการเบิกกระดาษของสำนักงานลดลงมากกว่าร้อยละ 30 ภายในปี 2570 (หน่วย: ร้อยละ/ปี)</t>
    </r>
  </si>
  <si>
    <r>
      <rPr>
        <b/>
        <u/>
        <sz val="14"/>
        <color theme="1"/>
        <rFont val="Chulabhorn Likit Text Light"/>
        <charset val="134"/>
      </rPr>
      <t>S-KPI 4-4(1)</t>
    </r>
    <r>
      <rPr>
        <b/>
        <sz val="14"/>
        <color theme="1"/>
        <rFont val="Chulabhorn Likit Text Light"/>
        <charset val="134"/>
      </rPr>
      <t xml:space="preserve"> </t>
    </r>
    <r>
      <rPr>
        <sz val="14"/>
        <color theme="1"/>
        <rFont val="Chulabhorn Likit Text Light"/>
        <charset val="134"/>
      </rPr>
      <t xml:space="preserve"> ร้อยละความสำเร็จของการพัฒนาระบบ KM Credit (หน่วย: ร้อยละ/ปี) 
</t>
    </r>
  </si>
  <si>
    <r>
      <rPr>
        <u/>
        <sz val="14"/>
        <rFont val="Chulabhorn Likit Text Light"/>
        <charset val="134"/>
      </rPr>
      <t>U-KPI 4-4(1)A</t>
    </r>
    <r>
      <rPr>
        <sz val="14"/>
        <rFont val="Chulabhorn Likit Text Light"/>
        <charset val="134"/>
      </rPr>
      <t xml:space="preserve"> ร้อยละของบุคลากรที่เข้าใช้งานระบบ KM Credit (หน่วย: ร้อยละ/ปี)</t>
    </r>
  </si>
  <si>
    <r>
      <rPr>
        <u/>
        <sz val="14"/>
        <rFont val="Chulabhorn Likit Text Light"/>
        <charset val="134"/>
      </rPr>
      <t>U-KPI 4-4(1)B</t>
    </r>
    <r>
      <rPr>
        <sz val="14"/>
        <rFont val="Chulabhorn Likit Text Light"/>
        <charset val="134"/>
      </rPr>
      <t xml:space="preserve"> ร้อยละความพึงพอใจการใช้ระบบ KM Credit ของบุคลากรที่ (หน่วย: ร้อยละ/ปี)</t>
    </r>
  </si>
  <si>
    <r>
      <rPr>
        <u/>
        <sz val="14"/>
        <rFont val="Chulabhorn Likit Text Light"/>
        <charset val="134"/>
      </rPr>
      <t>เกณฑ์การประเมิน:</t>
    </r>
    <r>
      <rPr>
        <sz val="14"/>
        <rFont val="Chulabhorn Likit Text Light"/>
        <charset val="134"/>
      </rPr>
      <t xml:space="preserve">
ร้อยละ 30: มีเกณฑ์การประเมิน หรือ มีรูปแบบการประเมิน Competency ตาม Core Value รจภ. (CRA TEAM) ชัดเจนและสอดคล้องกับรจภ.
ร้อยละ 50: มีฐานข้อมูลการประเมิน Competency ตาม Core Value รจภ. (CRA TEAM) 
ร้อยละ 70: มีโครงการพัฒนาศักยภาพ Competency ตาม Core Value รจภ. (CRA TEAM) 
ร้อยละ 100: มีคะแนนการประเมิน Competency ตาม Core Value รจภ. ของบุคลกรคณะฯ ครบทั้ง 7 ด้าน และมีระดับคะแนนมากกว่าร้อยละ 80 คิดเป็นร้อยละ 80 ของบุคลากรคณะทั้งหมด</t>
    </r>
  </si>
  <si>
    <r>
      <rPr>
        <u/>
        <sz val="14"/>
        <rFont val="Chulabhorn Likit Text Light"/>
        <charset val="134"/>
      </rPr>
      <t>U-KPI 4-4(2)A</t>
    </r>
    <r>
      <rPr>
        <sz val="14"/>
        <rFont val="Chulabhorn Likit Text Light"/>
        <charset val="134"/>
      </rPr>
      <t xml:space="preserve"> ร้อยละความสำเร็จของการพัฒนาระบบประเมิน Competency ของบุคลากรสังกัดคณะแพทยศาสตร์ศรีสวางควัฒน ตาม Core Value รจภ. (CRA TEAM)(หน่วย: ร้อยละ/ปี)</t>
    </r>
  </si>
  <si>
    <r>
      <rPr>
        <u/>
        <sz val="14"/>
        <rFont val="Chulabhorn Likit Text Light"/>
        <charset val="134"/>
      </rPr>
      <t>U-KPI 4-4(2)B</t>
    </r>
    <r>
      <rPr>
        <sz val="14"/>
        <rFont val="Chulabhorn Likit Text Light"/>
        <charset val="134"/>
      </rPr>
      <t xml:space="preserve"> ร้อยละของบุคลากรที่เข้ารับการประเมิน Digital Literacy โดยรจภ. และมีระดับ 80 คะแนนขึ้นไป (หน่วย: ร้อยละ/ปี)</t>
    </r>
  </si>
  <si>
    <r>
      <rPr>
        <b/>
        <u/>
        <sz val="14"/>
        <rFont val="Chulabhorn Likit Text Light"/>
        <charset val="134"/>
      </rPr>
      <t>S-KPI 4-5(1)</t>
    </r>
    <r>
      <rPr>
        <sz val="14"/>
        <rFont val="Chulabhorn Likit Text Light"/>
        <charset val="134"/>
      </rPr>
      <t xml:space="preserve"> จำนวนรายวิชาต้นแบบที่มีการใช้ GenAI ในการออกแบบและประเมินรายวิชา (หน่วย: จำนวนรายวิชา / ปี)</t>
    </r>
  </si>
  <si>
    <r>
      <rPr>
        <b/>
        <u/>
        <sz val="14"/>
        <rFont val="Chulabhorn Likit Text Light"/>
        <charset val="134"/>
      </rPr>
      <t>S-KPI 4-6(1)</t>
    </r>
    <r>
      <rPr>
        <b/>
        <sz val="14"/>
        <rFont val="Chulabhorn Likit Text Light"/>
        <charset val="134"/>
      </rPr>
      <t xml:space="preserve"> </t>
    </r>
    <r>
      <rPr>
        <sz val="14"/>
        <rFont val="Chulabhorn Likit Text Light"/>
        <charset val="134"/>
      </rPr>
      <t>ร้อยละของระดับความผูกพันของบุคลากรในองค์กร (Employee Engagement) (หน่วย: ร้อยละ/ปี)</t>
    </r>
  </si>
  <si>
    <r>
      <rPr>
        <u/>
        <sz val="14"/>
        <rFont val="Chulabhorn Likit Text Light"/>
        <charset val="134"/>
      </rPr>
      <t>เกณฑ์การประเมิน:</t>
    </r>
    <r>
      <rPr>
        <sz val="14"/>
        <rFont val="Chulabhorn Likit Text Light"/>
        <charset val="134"/>
      </rPr>
      <t xml:space="preserve">
นับจำนวนบุคลากรระดับบังคับบัญชาที่ได้รับการพัฒนาศักยภาพด้านการบริหารจัดการที่รองรับการปรับโครงสร้างองค์กรหารจำนวนบุคลากรระดับบังคับบัญชาทั้งหมดคูณ 100</t>
    </r>
  </si>
  <si>
    <r>
      <rPr>
        <b/>
        <u/>
        <sz val="14"/>
        <rFont val="Chulabhorn Likit Text Light"/>
        <charset val="134"/>
      </rPr>
      <t>S-KPI 4-6(2)A</t>
    </r>
    <r>
      <rPr>
        <b/>
        <sz val="14"/>
        <rFont val="Chulabhorn Likit Text Light"/>
        <charset val="134"/>
      </rPr>
      <t xml:space="preserve"> </t>
    </r>
    <r>
      <rPr>
        <sz val="14"/>
        <rFont val="Chulabhorn Likit Text Light"/>
        <charset val="134"/>
      </rPr>
      <t xml:space="preserve">ร้อยละของบุคลากรระดับบังคับบัญชาที่ได้รับการพัฒนาศักยภาพด้านการบริหารจัดการที่รองรับการปรับโครงสร้างองค์กร (หน่วย: ร้อยละ/ปี) </t>
    </r>
  </si>
  <si>
    <r>
      <rPr>
        <b/>
        <u/>
        <sz val="14"/>
        <rFont val="Chulabhorn Likit Text Light"/>
        <charset val="134"/>
      </rPr>
      <t>สมรรถนะการบริหารงานทั่วไป (General Competency-Level 1)</t>
    </r>
    <r>
      <rPr>
        <sz val="14"/>
        <rFont val="Chulabhorn Likit Text Light"/>
        <charset val="134"/>
      </rPr>
      <t xml:space="preserve"> ได้แก่ 
1. การเขียนโครงการ
2. การเขียนหนังสือราชการ
3. การใช้ระบบสารบรรณอิเล็กทรอนิกส์
4. การจัดทำคำของบประมาณประจำปี
5. การขออนุมัติจัดซื้อจัดจ้าง
6. การสื่อสารและประสานงานเพื่อผลลัพธ์ที่ดี
7. การทำงานเป็นทีม</t>
    </r>
    <r>
      <rPr>
        <u/>
        <sz val="14"/>
        <rFont val="Chulabhorn Likit Text Light"/>
        <charset val="134"/>
      </rPr>
      <t xml:space="preserve">
</t>
    </r>
    <r>
      <rPr>
        <b/>
        <u/>
        <sz val="14"/>
        <rFont val="Chulabhorn Likit Text Light"/>
        <charset val="134"/>
      </rPr>
      <t>เกณฑ์การประเมิน:</t>
    </r>
    <r>
      <rPr>
        <sz val="14"/>
        <rFont val="Chulabhorn Likit Text Light"/>
        <charset val="134"/>
      </rPr>
      <t xml:space="preserve">
นับจำนวนบุคลากรระดับปฏิบัติการที่ได้รับการพัฒนาศักยภาพด้านสมรรถนะทั่วไป (General Competency-Level 1)หาร จำนวนบุคลากรระดับปฏิบัติการทั้งหมดคูณ 100</t>
    </r>
  </si>
  <si>
    <r>
      <rPr>
        <b/>
        <u/>
        <sz val="14"/>
        <rFont val="Chulabhorn Likit Text Light"/>
        <charset val="134"/>
      </rPr>
      <t>S-KPI 4-6(2)B</t>
    </r>
    <r>
      <rPr>
        <b/>
        <sz val="14"/>
        <rFont val="Chulabhorn Likit Text Light"/>
        <charset val="134"/>
      </rPr>
      <t xml:space="preserve"> </t>
    </r>
    <r>
      <rPr>
        <sz val="14"/>
        <rFont val="Chulabhorn Likit Text Light"/>
        <charset val="134"/>
      </rPr>
      <t xml:space="preserve">ร้อยละของบุคลากรสายสนับสนุนระดับปฏิบัติการที่ได้รับการพัฒนาศักยภาพด้านสมรรถนะทั่วไป (General Competency-Level 1) (หน่วย: ร้อยละ/ปี) </t>
    </r>
  </si>
  <si>
    <r>
      <rPr>
        <u/>
        <sz val="14"/>
        <rFont val="Chulabhorn Likit Text Light"/>
        <charset val="134"/>
      </rPr>
      <t>สูตรในการคํานวณตัวชี้วัด</t>
    </r>
    <r>
      <rPr>
        <sz val="14"/>
        <rFont val="Chulabhorn Likit Text Light"/>
        <charset val="134"/>
      </rPr>
      <t xml:space="preserve"> นับจํานวนอาจารย์ทั้งหมดที่ได้รับการรอบรม Competency ด้านการวิจัยและการบริหารจัดการโครงการวิจัย หารด้วยจํานวนอาจารย์ทั้งหมดของคณะในเวลานั้น คูณ 100</t>
    </r>
  </si>
  <si>
    <r>
      <rPr>
        <b/>
        <u/>
        <sz val="14"/>
        <rFont val="Chulabhorn Likit Text Light"/>
        <charset val="134"/>
      </rPr>
      <t>S-KPI 4-7(1)</t>
    </r>
    <r>
      <rPr>
        <sz val="14"/>
        <rFont val="Chulabhorn Likit Text Light"/>
        <charset val="134"/>
      </rPr>
      <t xml:space="preserve"> ร้อยละของอาจารย์ที่ผ่านการอบรม Competency ด้านการวิจัยและการบริหารจัดการโครงการวิจัย ในทุกระดับ  (หน่วย: ร้อยละ/ปี)</t>
    </r>
  </si>
  <si>
    <r>
      <rPr>
        <u/>
        <sz val="14"/>
        <rFont val="Chulabhorn Likit Text Light"/>
        <charset val="134"/>
      </rPr>
      <t>สูตรในการคํานวณตัวชี้วัด</t>
    </r>
    <r>
      <rPr>
        <sz val="14"/>
        <rFont val="Chulabhorn Likit Text Light"/>
        <charset val="134"/>
      </rPr>
      <t xml:space="preserve"> นับจํานวนอาจารย์ระดับผู้บริหารที่ได้รับการรอบรม Competency ด้านการวิจัยและการบริหารจัดการโครงการวิจัย หารด้วยจํานวนอาจารย์ระดับผู้บริหารทั้งหมดของคณะในเวลานั้น คูณ 100</t>
    </r>
  </si>
  <si>
    <r>
      <rPr>
        <u/>
        <sz val="14"/>
        <rFont val="Chulabhorn Likit Text Light"/>
        <charset val="134"/>
      </rPr>
      <t>U-KPI 4-7(1)A</t>
    </r>
    <r>
      <rPr>
        <sz val="14"/>
        <rFont val="Chulabhorn Likit Text Light"/>
        <charset val="134"/>
      </rPr>
      <t xml:space="preserve"> ร้อยละของอาจารย์ที่ผ่านการอบรม Competency ในระดับผู้บริหาร  (หน่วย: ร้อยละ/ปี)</t>
    </r>
  </si>
  <si>
    <r>
      <rPr>
        <u/>
        <sz val="14"/>
        <rFont val="Chulabhorn Likit Text Light"/>
        <charset val="134"/>
      </rPr>
      <t>สูตรในการคํานวณตัวชี้วัด</t>
    </r>
    <r>
      <rPr>
        <sz val="14"/>
        <rFont val="Chulabhorn Likit Text Light"/>
        <charset val="134"/>
      </rPr>
      <t xml:space="preserve"> นับจํานวนอาจารย์ผู้วิจัยรุ่นใหญ่ (อายุงานมากกว่า 5 ปีขึ้นไป) ที่ได้รับการรอบรม Competency ด้านการวิจัยและการบริหารจัดการโครงการวิจัย หารด้วยจํานวนอาจารย์อายุงานมากกว่า 5 ปีขึ้นไปทั้งหมดของคณะในเวลานั้น คูณ 100</t>
    </r>
  </si>
  <si>
    <r>
      <rPr>
        <u/>
        <sz val="14"/>
        <rFont val="Chulabhorn Likit Text Light"/>
        <charset val="134"/>
      </rPr>
      <t>U-KPI 4-7(1)B</t>
    </r>
    <r>
      <rPr>
        <sz val="14"/>
        <rFont val="Chulabhorn Likit Text Light"/>
        <charset val="134"/>
      </rPr>
      <t xml:space="preserve"> ร้อยละของอาจารย์ที่ผ่านการอบรม Competency ในระดับผู้วิจัยรุ่นใหญ่  (หน่วย: ร้อยละ/ปี)</t>
    </r>
  </si>
  <si>
    <r>
      <rPr>
        <u/>
        <sz val="14"/>
        <rFont val="Chulabhorn Likit Text Light"/>
        <charset val="134"/>
      </rPr>
      <t>สูตรในการคํานวณตัวชี้วัด</t>
    </r>
    <r>
      <rPr>
        <sz val="14"/>
        <rFont val="Chulabhorn Likit Text Light"/>
        <charset val="134"/>
      </rPr>
      <t xml:space="preserve"> นับจํานวนอาจารย์ผู้วิจัยรุ่นใหญ่ (อายุงาน 1-5 ปี) ที่ได้รับการรอบรม Competency ด้านการวิจัยและการบริหารจัดการโครงการวิจัย หารด้วยจํานวนอาจารย์อายุงาน 1-5 ปีทั้งหมดของคณะในเวลานั้น คูณ 100</t>
    </r>
  </si>
  <si>
    <r>
      <rPr>
        <u/>
        <sz val="14"/>
        <rFont val="Chulabhorn Likit Text Light"/>
        <charset val="134"/>
      </rPr>
      <t>U-KPI 4-7(1)C</t>
    </r>
    <r>
      <rPr>
        <sz val="14"/>
        <rFont val="Chulabhorn Likit Text Light"/>
        <charset val="134"/>
      </rPr>
      <t xml:space="preserve"> ร้อยละของอาจารย์ที่ผ่านการอบรม Competency ในระดับผู้วิจัยรุ่นกลาง  (หน่วย: ร้อยละ/ปี)</t>
    </r>
  </si>
  <si>
    <r>
      <rPr>
        <u/>
        <sz val="14"/>
        <rFont val="Chulabhorn Likit Text Light"/>
        <charset val="134"/>
      </rPr>
      <t>สูตรในการคํานวณตัวชี้วัด</t>
    </r>
    <r>
      <rPr>
        <sz val="14"/>
        <rFont val="Chulabhorn Likit Text Light"/>
        <charset val="134"/>
      </rPr>
      <t xml:space="preserve"> นับจํานวนอาจารย์ผู้วิจัยรุ่นใหญ่ (อายุงานน้อยกว่า 1 ปี) ที่ได้รับการรอบรม Competency ด้านการวิจัยและการบริหารจัดการโครงการวิจัย หารด้วยจํานวนอาจารย์อายุงานน้อยกว่า 1 ปีทั้งหมดของคณะในเวลานั้น คูณ 100</t>
    </r>
  </si>
  <si>
    <r>
      <rPr>
        <u/>
        <sz val="14"/>
        <rFont val="Chulabhorn Likit Text Light"/>
        <charset val="134"/>
      </rPr>
      <t>U-KPI 4-7(1)D</t>
    </r>
    <r>
      <rPr>
        <sz val="14"/>
        <rFont val="Chulabhorn Likit Text Light"/>
        <charset val="134"/>
      </rPr>
      <t xml:space="preserve"> ร้อยละของอาจารย์ที่ผ่านการอบรม Competency ในระดับผู้วิจัยรุ่นใหม่  (หน่วย: ร้อยละ/ปี)</t>
    </r>
  </si>
  <si>
    <r>
      <rPr>
        <u/>
        <sz val="14"/>
        <rFont val="Chulabhorn Likit Text Light"/>
        <charset val="134"/>
      </rPr>
      <t>สูตรการคำนวณ:</t>
    </r>
    <r>
      <rPr>
        <sz val="14"/>
        <rFont val="Chulabhorn Likit Text Light"/>
        <charset val="134"/>
      </rPr>
      <t xml:space="preserve">
จำนวนบุคลากรสายสนับสนุนที่มีส่วนร่วมของ R2R/จำนวนบุคลากรสายสนับสนุนทั้งหมด x 100</t>
    </r>
  </si>
  <si>
    <r>
      <rPr>
        <u/>
        <sz val="14"/>
        <rFont val="Chulabhorn Likit Text Light"/>
        <charset val="134"/>
      </rPr>
      <t>U-KPI 4-7(2)</t>
    </r>
    <r>
      <rPr>
        <sz val="14"/>
        <rFont val="Chulabhorn Likit Text Light"/>
        <charset val="134"/>
      </rPr>
      <t xml:space="preserve"> ร้อยละของจำนวนบุคลากรสายสนับสนุนที่มีส่วนร่วมของ R2R  (หน่วย: ร้อยละ/ปี)</t>
    </r>
  </si>
  <si>
    <r>
      <rPr>
        <b/>
        <u/>
        <sz val="14"/>
        <rFont val="Chulabhorn Likit Text Light"/>
        <charset val="134"/>
      </rPr>
      <t>S-KPI 4-8(1)</t>
    </r>
    <r>
      <rPr>
        <sz val="14"/>
        <rFont val="Chulabhorn Likit Text Light"/>
        <charset val="134"/>
      </rPr>
      <t xml:space="preserve"> ประสิทธิภาพการใช้จ่ายงบประมาณภาพรวม (หน่วย: ร้อยละ/ปี) </t>
    </r>
  </si>
  <si>
    <r>
      <rPr>
        <u/>
        <sz val="14"/>
        <rFont val="Chulabhorn Likit Text Light"/>
        <charset val="134"/>
      </rPr>
      <t>U-KPI 4-8(2)A</t>
    </r>
    <r>
      <rPr>
        <sz val="14"/>
        <rFont val="Chulabhorn Likit Text Light"/>
        <charset val="134"/>
      </rPr>
      <t xml:space="preserve"> สัดส่วนรายได้ที่เพิ่มขึ้นจากทุกช่องทางอย่างน้อยร้อยละ 10 ต่อปี (หน่วย: ร้อยละ/ปี) (เน้นการจัดอบรมหรือระยะสั้น)</t>
    </r>
  </si>
  <si>
    <r>
      <rPr>
        <u/>
        <sz val="14"/>
        <rFont val="Chulabhorn Likit Text Light"/>
        <charset val="134"/>
      </rPr>
      <t>U-KPI 4-8(2)B</t>
    </r>
    <r>
      <rPr>
        <sz val="14"/>
        <rFont val="Chulabhorn Likit Text Light"/>
        <charset val="134"/>
      </rPr>
      <t xml:space="preserve"> จำนวนโครงการวิจัย/บริการวิชาการ/*หลักสูตรระยะสั้น ที่เพิ่มขึ้นในแต่ละปี (หน่วย: โครงการ/ปี)</t>
    </r>
  </si>
  <si>
    <t>ยุทธศาสตร์ที่ 5 : เชื่อมต่อกับโลก เพื่อความร่วมมือระดับสากล
(Connecting with the world for international partnership)</t>
  </si>
  <si>
    <t>เป็นคณะแพทยศาสตร์ที่โดดเด่นและเป็นที่รู้จัก ทั้งระดับประเทศและระดับสากล และก้าวเข้าสู่การจัดอันดับโลก</t>
  </si>
  <si>
    <r>
      <rPr>
        <b/>
        <sz val="14"/>
        <color theme="1"/>
        <rFont val="Chulabhorn Likit Text Light"/>
        <charset val="134"/>
      </rPr>
      <t xml:space="preserve">O5-1 </t>
    </r>
    <r>
      <rPr>
        <sz val="14"/>
        <color theme="1"/>
        <rFont val="Chulabhorn Likit Text Light"/>
        <charset val="134"/>
      </rPr>
      <t xml:space="preserve">ส่งเสริมความเป็นสากล </t>
    </r>
  </si>
  <si>
    <r>
      <rPr>
        <b/>
        <sz val="14"/>
        <color theme="1"/>
        <rFont val="Chulabhorn Likit Text Light"/>
        <charset val="134"/>
      </rPr>
      <t xml:space="preserve">O5-2 </t>
    </r>
    <r>
      <rPr>
        <sz val="14"/>
        <color theme="1"/>
        <rFont val="Chulabhorn Likit Text Light"/>
        <charset val="134"/>
      </rPr>
      <t>สร้างเครือข่ายพันธมิตรกับองค์กรระดับโลก</t>
    </r>
  </si>
  <si>
    <r>
      <rPr>
        <b/>
        <sz val="14"/>
        <color theme="1"/>
        <rFont val="Chulabhorn Likit Text Light"/>
        <charset val="134"/>
      </rPr>
      <t>KR-OP 5-1</t>
    </r>
    <r>
      <rPr>
        <sz val="14"/>
        <color theme="1"/>
        <rFont val="Chulabhorn Likit Text Light"/>
        <charset val="134"/>
      </rPr>
      <t xml:space="preserve"> มีสัดส่วนจำนวนนักศึกษาต่างชาติแลกเปลี่ยนเพิ่มขึ้น อย่างน้อยร้อยละ 3 ต่อปี</t>
    </r>
  </si>
  <si>
    <r>
      <rPr>
        <b/>
        <sz val="14"/>
        <color theme="1"/>
        <rFont val="Chulabhorn Likit Text Light"/>
        <charset val="134"/>
      </rPr>
      <t>KR-OP 5-2</t>
    </r>
    <r>
      <rPr>
        <sz val="14"/>
        <color theme="1"/>
        <rFont val="Chulabhorn Likit Text Light"/>
        <charset val="134"/>
      </rPr>
      <t xml:space="preserve"> มีสัดส่วนอาจารย์ต่างชาติเพิ่มขึ้น อย่างน้อยร้อยละ 3 ต่อปี</t>
    </r>
  </si>
  <si>
    <r>
      <rPr>
        <b/>
        <sz val="14"/>
        <color theme="1"/>
        <rFont val="Chulabhorn Likit Text Light"/>
        <charset val="134"/>
      </rPr>
      <t xml:space="preserve">KR-OP 5-3 </t>
    </r>
    <r>
      <rPr>
        <sz val="14"/>
        <color theme="1"/>
        <rFont val="Chulabhorn Likit Text Light"/>
        <charset val="134"/>
      </rPr>
      <t>มีเครือข่ายกับองค์กรหรือนักวิจัยระดับโลกเพิ่มขึ้นอย่างน้อย 2 เครือข่ายต่อปี</t>
    </r>
  </si>
  <si>
    <r>
      <rPr>
        <b/>
        <sz val="14"/>
        <color theme="1"/>
        <rFont val="Chulabhorn Likit Text Light"/>
        <charset val="134"/>
      </rPr>
      <t>KR-OP 5-4</t>
    </r>
    <r>
      <rPr>
        <sz val="14"/>
        <color theme="1"/>
        <rFont val="Chulabhorn Likit Text Light"/>
        <charset val="134"/>
      </rPr>
      <t xml:space="preserve"> ผลการสำรวจชื่อเสียงหรือระดับการรับรู้ขององค์กรอยู่ในระดับดีขึ้นไป มากกว่าหรือเท่ากับร้อยละ 85 (คะแนนมากกว่า 3.5 จากคะแนนเต็ม 5)</t>
    </r>
  </si>
  <si>
    <r>
      <rPr>
        <b/>
        <sz val="14"/>
        <color theme="1"/>
        <rFont val="Chulabhorn Likit Text Light"/>
        <charset val="134"/>
      </rPr>
      <t>KR-OC 5-1</t>
    </r>
    <r>
      <rPr>
        <sz val="14"/>
        <color theme="1"/>
        <rFont val="Chulabhorn Likit Text Light"/>
        <charset val="134"/>
      </rPr>
      <t xml:space="preserve"> ก้าวเข้าสู่ World Ranking และติดอันดับ 1 ใน 500 ของโลกในระยะเวลา 6 ปี</t>
    </r>
  </si>
  <si>
    <r>
      <rPr>
        <u/>
        <sz val="14"/>
        <rFont val="Chulabhorn Likit Text Light"/>
        <charset val="134"/>
      </rPr>
      <t>เกณฑ์การประเมิน:</t>
    </r>
    <r>
      <rPr>
        <sz val="14"/>
        <rFont val="Chulabhorn Likit Text Light"/>
        <charset val="134"/>
      </rPr>
      <t xml:space="preserve">
จำนวนนักศึกษาต่างชาติที่มาเรียนหรือมาแลกเปลี่ยนเพิ่มขึ้น/ จำนวนนักศึกษาทั้งหมด x 100
</t>
    </r>
  </si>
  <si>
    <r>
      <rPr>
        <b/>
        <u/>
        <sz val="14"/>
        <rFont val="Chulabhorn Likit Text Light"/>
        <charset val="134"/>
      </rPr>
      <t>S-KPI 5-1(1)A</t>
    </r>
    <r>
      <rPr>
        <sz val="14"/>
        <rFont val="Chulabhorn Likit Text Light"/>
        <charset val="134"/>
      </rPr>
      <t xml:space="preserve"> ร้อยละของจำนวนนักศึกษาต่างชาติที่มาเรียนหรือมาแลกเปลี่ยนเพิ่มขึ้น (หน่วย: ร้อยละ/ปี)</t>
    </r>
  </si>
  <si>
    <r>
      <rPr>
        <u/>
        <sz val="14"/>
        <rFont val="Chulabhorn Likit Text Light"/>
        <charset val="134"/>
      </rPr>
      <t>U-KPI 5-1(1)A</t>
    </r>
    <r>
      <rPr>
        <sz val="14"/>
        <rFont val="Chulabhorn Likit Text Light"/>
        <charset val="134"/>
      </rPr>
      <t xml:space="preserve"> จำนวนโครงการที่มีนักศึกษาคณะหรือนักศึกษาต่างชาติเข้าร่วมกิจกรรมระดับนานาชาติ  (หน่วย: โครงการ/ปี)</t>
    </r>
  </si>
  <si>
    <r>
      <rPr>
        <u/>
        <sz val="14"/>
        <rFont val="Chulabhorn Likit Text Light"/>
        <charset val="134"/>
      </rPr>
      <t xml:space="preserve">ปี 2567: </t>
    </r>
    <r>
      <rPr>
        <sz val="14"/>
        <rFont val="Chulabhorn Likit Text Light"/>
        <charset val="134"/>
      </rPr>
      <t xml:space="preserve">
จำนวนนักศึกษา MPME
ปี 3 จำนวน 2 คน คงอยู่ 2 คน
ปี 2 จำนวน 1 คน คงอยู่ 1 คน
ปี 1 จำนวน - คน คงอยู่ - คน</t>
    </r>
  </si>
  <si>
    <r>
      <rPr>
        <u/>
        <sz val="14"/>
        <rFont val="Chulabhorn Likit Text Light"/>
        <charset val="134"/>
      </rPr>
      <t xml:space="preserve">U-KPI 5-1(1)B </t>
    </r>
    <r>
      <rPr>
        <sz val="14"/>
        <rFont val="Chulabhorn Likit Text Light"/>
        <charset val="134"/>
      </rPr>
      <t>จำนวนนักศึกษาต่างชาติที่มาศึกษาในหลักสูตรของคณะ (หน่วย: คน/ปี)</t>
    </r>
  </si>
  <si>
    <r>
      <rPr>
        <u/>
        <sz val="14"/>
        <rFont val="Chulabhorn Likit Text Light"/>
        <charset val="134"/>
      </rPr>
      <t>เกณฑ์การประเมิน:</t>
    </r>
    <r>
      <rPr>
        <sz val="14"/>
        <rFont val="Chulabhorn Likit Text Light"/>
        <charset val="134"/>
      </rPr>
      <t xml:space="preserve">
นับจำนวนนักศึกษาที่ฝึกงานหรือขอไปทำวิจัยต่างประเทศ</t>
    </r>
  </si>
  <si>
    <r>
      <rPr>
        <b/>
        <u/>
        <sz val="14"/>
        <rFont val="Chulabhorn Likit Text Light"/>
        <charset val="134"/>
      </rPr>
      <t>S-KPI 5-1(1)B</t>
    </r>
    <r>
      <rPr>
        <sz val="14"/>
        <rFont val="Chulabhorn Likit Text Light"/>
        <charset val="134"/>
      </rPr>
      <t xml:space="preserve"> จำนวนนักศึกษาของคณะที่เข้าร่วมศึกษาแลกเปลี่ยนต่างๆ (หน่วย: คน/ปี)</t>
    </r>
  </si>
  <si>
    <r>
      <rPr>
        <b/>
        <u/>
        <sz val="14"/>
        <rFont val="Chulabhorn Likit Text Light"/>
        <charset val="134"/>
      </rPr>
      <t>S-KPI 5-2(1)</t>
    </r>
    <r>
      <rPr>
        <sz val="14"/>
        <rFont val="Chulabhorn Likit Text Light"/>
        <charset val="134"/>
      </rPr>
      <t xml:space="preserve"> จำนวนเครือข่ายและกิจกรรมความร่วมมือจากการทำงานวิจัยหลังจาก Postdoc ณ มหาคณะที่มีชื่อเสียงระดับโลก (หน่วย: เครือข่าย/กิจกรรม/ผลงานตีพิมพ์/ปี)</t>
    </r>
  </si>
  <si>
    <r>
      <rPr>
        <u/>
        <sz val="14"/>
        <rFont val="Chulabhorn Likit Text Light"/>
        <charset val="134"/>
      </rPr>
      <t>U-KPI 5-2(1)</t>
    </r>
    <r>
      <rPr>
        <sz val="14"/>
        <rFont val="Chulabhorn Likit Text Light"/>
        <charset val="134"/>
      </rPr>
      <t xml:space="preserve"> จำนวนอาจารย์ ที่ไปทำงานวิจัย Postdoc ณ มหาคณะที่มีชื่อเสียงระดับโลก (หน่วย: คน/ปี) </t>
    </r>
  </si>
  <si>
    <r>
      <rPr>
        <u/>
        <sz val="14"/>
        <rFont val="Chulabhorn Likit Text Light"/>
        <charset val="134"/>
      </rPr>
      <t>เกณฑ์การประเมิน:</t>
    </r>
    <r>
      <rPr>
        <sz val="14"/>
        <rFont val="Chulabhorn Likit Text Light"/>
        <charset val="134"/>
      </rPr>
      <t xml:space="preserve">
นับจำนวนอาจารย์ Visiting Professor ที่กำหนดระยะเวลามาสอนอย่างน้อย 1 สัปดาห์</t>
    </r>
  </si>
  <si>
    <r>
      <rPr>
        <b/>
        <u/>
        <sz val="14"/>
        <rFont val="Chulabhorn Likit Text Light"/>
        <charset val="134"/>
      </rPr>
      <t xml:space="preserve">S-KPI 5-2(2) </t>
    </r>
    <r>
      <rPr>
        <sz val="14"/>
        <rFont val="Chulabhorn Likit Text Light"/>
        <charset val="134"/>
      </rPr>
      <t xml:space="preserve">จำนวน Visiting Professor (หน่วย: คน/ปี) </t>
    </r>
  </si>
  <si>
    <r>
      <rPr>
        <u/>
        <sz val="14"/>
        <rFont val="Chulabhorn Likit Text Light"/>
        <charset val="134"/>
      </rPr>
      <t>เกณฑ์การประเมิน:</t>
    </r>
    <r>
      <rPr>
        <sz val="14"/>
        <rFont val="Chulabhorn Likit Text Light"/>
        <charset val="134"/>
      </rPr>
      <t xml:space="preserve">
นับจำนวนอาจารย์ Special Lecture, Guest Speaker ที่ได้รับเชิญในหลักสูตรและกิจกรรมด้านการศึกษาของคณะ</t>
    </r>
  </si>
  <si>
    <r>
      <rPr>
        <u/>
        <sz val="14"/>
        <rFont val="Chulabhorn Likit Text Light"/>
        <charset val="134"/>
      </rPr>
      <t>U-KPI 5-2(2)</t>
    </r>
    <r>
      <rPr>
        <sz val="14"/>
        <rFont val="Chulabhorn Likit Text Light"/>
        <charset val="134"/>
      </rPr>
      <t xml:space="preserve"> จำนวนอาจารย์หรือวิทยากรต่างชาติ (Special Lecture, Guest Speaker) ที่ได้รับเชิญในหลักสูตรและกิจกรรมด้านการศึกษาของคณะ (หน่วย: คน/ปี)</t>
    </r>
  </si>
  <si>
    <r>
      <rPr>
        <u/>
        <sz val="14"/>
        <rFont val="Chulabhorn Likit Text Light"/>
        <charset val="134"/>
      </rPr>
      <t>เกณฑ์การประเมิน:</t>
    </r>
    <r>
      <rPr>
        <sz val="14"/>
        <rFont val="Chulabhorn Likit Text Light"/>
        <charset val="134"/>
      </rPr>
      <t xml:space="preserve">
จำนวนเครือข่ายในต่างประเทศที่ลงนามบันทึกข้อตกลงความร่วมมือ และมีกิจกรรม (Active MOU) / จำนวนเครือข่ายในต่างประเทศที่มีการลงนามบันทึกข้อตกลงความร่วมมือ (MOU/MOA) ทั้งหมด x 100</t>
    </r>
  </si>
  <si>
    <r>
      <rPr>
        <b/>
        <u/>
        <sz val="14"/>
        <rFont val="Chulabhorn Likit Text Light"/>
        <charset val="134"/>
      </rPr>
      <t>S-KPI 5-3(1)</t>
    </r>
    <r>
      <rPr>
        <sz val="14"/>
        <rFont val="Chulabhorn Likit Text Light"/>
        <charset val="134"/>
      </rPr>
      <t xml:space="preserve"> สัดส่วนของ Active MOU ต่อ MOU ทั้งหมด (หน่วย: ร้อยละ/ปี)</t>
    </r>
  </si>
  <si>
    <r>
      <rPr>
        <u/>
        <sz val="14"/>
        <rFont val="Chulabhorn Likit Text Light"/>
        <charset val="134"/>
      </rPr>
      <t>U-KPI 5-3(1)A</t>
    </r>
    <r>
      <rPr>
        <sz val="14"/>
        <rFont val="Chulabhorn Likit Text Light"/>
        <charset val="134"/>
      </rPr>
      <t xml:space="preserve"> จำนวนเครือข่ายในต่างประเทศที่มีการลงนามบันทึกข้อตกลงความร่วมมือ (MOU/MOA) เพิ่มเติมรายใหม่ (หน่วย: แห่ง/ปี)</t>
    </r>
  </si>
  <si>
    <r>
      <rPr>
        <u/>
        <sz val="14"/>
        <rFont val="Chulabhorn Likit Text Light"/>
        <charset val="134"/>
      </rPr>
      <t>U-KPI 5-3(1)B</t>
    </r>
    <r>
      <rPr>
        <sz val="14"/>
        <rFont val="Chulabhorn Likit Text Light"/>
        <charset val="134"/>
      </rPr>
      <t xml:space="preserve"> จำนวนเครือข่ายในต่างประเทศที่มีการลงนามบันทึกข้อตกลงความร่วมมือ (MOU/MOA) ทั้งหมด (หน่วย: แห่ง/ปี)</t>
    </r>
  </si>
  <si>
    <r>
      <rPr>
        <u/>
        <sz val="14"/>
        <rFont val="Chulabhorn Likit Text Light"/>
        <charset val="134"/>
      </rPr>
      <t>U-KPI 5-3(1)C</t>
    </r>
    <r>
      <rPr>
        <sz val="14"/>
        <rFont val="Chulabhorn Likit Text Light"/>
        <charset val="134"/>
      </rPr>
      <t xml:space="preserve"> จำนวนเครือข่ายในต่างประเทศที่ลงนามบันทึกข้อตกลงความร่วมมือ และมีกิจกรรมในระดับชาติและนานาชาติ  (Active MOU) (หน่วย: แห่ง/ปี)</t>
    </r>
  </si>
  <si>
    <r>
      <rPr>
        <u/>
        <sz val="14"/>
        <rFont val="Chulabhorn Likit Text Light"/>
        <charset val="134"/>
      </rPr>
      <t>เกณฑ์การประเมิน:</t>
    </r>
    <r>
      <rPr>
        <sz val="14"/>
        <rFont val="Chulabhorn Likit Text Light"/>
        <charset val="134"/>
      </rPr>
      <t xml:space="preserve">
จำนวนงานประชุมวิชาการนานาชาติ ที่มีวิทยากรต่างชาติและมีผู้เข้าร่วมต่างชาติ การบรรยายเป็นภาษาอังกฤษ</t>
    </r>
  </si>
  <si>
    <r>
      <rPr>
        <b/>
        <u/>
        <sz val="14"/>
        <rFont val="Chulabhorn Likit Text Light"/>
        <charset val="134"/>
      </rPr>
      <t>S-KPI 5-4(1)</t>
    </r>
    <r>
      <rPr>
        <sz val="14"/>
        <rFont val="Chulabhorn Likit Text Light"/>
        <charset val="134"/>
      </rPr>
      <t xml:space="preserve"> จำนวนงานประชุมวิชาการนานาชาติ (หน่วย: ครั้ง/ปี)</t>
    </r>
  </si>
  <si>
    <r>
      <rPr>
        <u/>
        <sz val="14"/>
        <rFont val="Chulabhorn Likit Text Light"/>
        <charset val="134"/>
      </rPr>
      <t>เกณฑ์การประเมิน:</t>
    </r>
    <r>
      <rPr>
        <sz val="14"/>
        <rFont val="Chulabhorn Likit Text Light"/>
        <charset val="134"/>
      </rPr>
      <t xml:space="preserve">
นับจำนวนสื่อที่ได้รับการแปลภาษาอังกฤษและ/หรือ ได้รับการประชาสัมพันธ์เป็นภาษาอังกฤษ หารด้วยจำนวนสื่อประชาสัมพันธ์/โพสต์ในช่องทางต่างๆ ทั้งหมด คูณ 100</t>
    </r>
  </si>
  <si>
    <r>
      <rPr>
        <u/>
        <sz val="14"/>
        <rFont val="Chulabhorn Likit Text Light"/>
        <charset val="134"/>
      </rPr>
      <t>U-KPI 5-5(1)</t>
    </r>
    <r>
      <rPr>
        <sz val="14"/>
        <rFont val="Chulabhorn Likit Text Light"/>
        <charset val="134"/>
      </rPr>
      <t xml:space="preserve"> ร้อยละของจำนวนสื่อที่ได้รับการแปลภาษาอังกฤษและ/หรือ ได้รับการประชาสัมพันธ์เป็นภาษาอังกฤษ (หน่วย: ร้อยละ/ปี)</t>
    </r>
  </si>
  <si>
    <r>
      <rPr>
        <u/>
        <sz val="14"/>
        <rFont val="Chulabhorn Likit Text Light"/>
        <charset val="134"/>
      </rPr>
      <t xml:space="preserve">เกณฑ์การประเมิน:
</t>
    </r>
    <r>
      <rPr>
        <sz val="14"/>
        <rFont val="Chulabhorn Likit Text Light"/>
        <charset val="134"/>
      </rPr>
      <t>ร้อยละความสำเร็จ
ร้อยละ 20: มีแบบโครงร่างเว็บไซต์คณะภาคภาษาอังกฤษและข้อมูล TOR เพื่อจัดทำคำของบประมาณ
ร้อยละ 50: ได้รับการจัดสรรงบประมาณ และดำเนินการจัดจ้างทำเว็บไซต์คณะภาคภาษาอังกฤษ
ร้อยละ 100: เปิดใช้เว็บไซต์คณะภาคภาษาอังกฤษ</t>
    </r>
  </si>
  <si>
    <r>
      <rPr>
        <u/>
        <sz val="14"/>
        <rFont val="Chulabhorn Likit Text Light"/>
        <charset val="134"/>
      </rPr>
      <t>U-KPI 5-5(2)</t>
    </r>
    <r>
      <rPr>
        <sz val="14"/>
        <rFont val="Chulabhorn Likit Text Light"/>
        <charset val="134"/>
      </rPr>
      <t xml:space="preserve"> ร้อยละความสำเร็จของการพัฒนา Website คณะฯ ที่เป็นภาคภาษาอังกฤษ (หน่วย: ร้อยละ/ปี)</t>
    </r>
  </si>
  <si>
    <t>ตอบสนองยุทธศาสตร์รจภ. 
หรือ OP/ OC / QA</t>
  </si>
  <si>
    <t>ตัวชี้วัด (KPI)</t>
  </si>
  <si>
    <t>1. โครงการพัฒนาหลักสูตรใหม่หรือปรับปรุงหลักสูตรที่มี เพื่อตอบโจทย์โลกและสังคมแห่งอนาคต</t>
  </si>
  <si>
    <t>ผศ.ดร.รจนภร พูลมานะอุสาหะกุล
(คณะกรรมการการศึกษา)</t>
  </si>
  <si>
    <t>1. งานหลักสูตรแพทยศาสตรบัณฑิต
: นายอธิพงษ์ ราชเนตร
: นางสาววรรณา การเฉื่อยเฉิน
: นางสาวปวันรัตน์ ศรีพรหม
: นางสาวอภันตรี นาคอำไพ
: นางสาวสุกัญญา จันดาพืช
: นางสาวธัญรัตน์ จีนมหันต์</t>
  </si>
  <si>
    <t xml:space="preserve"> - จัดทำแผนการพัฒนาปรับปรุงหลักสูตร ตรี โท เอก non-degree และ credit bank เพื่อให้สอดคล้องกับคำอธิบายตัวชี้วัดของ รจภ.
 - จัดทำฐานข้อมูล Future Competence ตาม Curriculum</t>
  </si>
  <si>
    <t>KPI 1-1(1) จำนวนหลักสูตรในระดับอนุปริญญา ปริญญาบัณฑิต และบัณฑิตศึกษาที่ตอบสนองความต้องการของประเทศ (หน่วย: หลักสูตร/ปี) (สะสม)</t>
  </si>
  <si>
    <t xml:space="preserve">2. งานหลักสูตรวิทยาศาสตรบัณฑิต สาขาวิชาวิทยาศาสตร์สุขภาพ (HDS) 
: น.ส.อารียา ฉัตรจินดากุล
: นางสาวณัฐญา เชี่ยวชาญ </t>
  </si>
  <si>
    <t>KPI 1-1(1)A จำนวนหลักสูตร (ใหม่) ในระดับปริญญาบัณฑิตและบัณฑิตศึกษาที่ตอบสนองความต้องการของประเทศ (หน่วย: หลักสูตร/ปี)</t>
  </si>
  <si>
    <t>3. งานหลักสูตรวิทยาศาสตรมหาบัณฑิต สาขาวิชาฟิสิกส์การแพทย์ (MP) 
: น.ส.สุกัญญา ทิราพงษ์</t>
  </si>
  <si>
    <t>KPI 1-1(1)B จำนวนหลักสูตรวิชาชีพหรือหลักสูตรระยะสั้น (ใหม่) ที่ตอบสนองความต้องการของประเทศ (หน่วย: หลักสูตร/ปี)</t>
  </si>
  <si>
    <r>
      <rPr>
        <sz val="14"/>
        <rFont val="Chulabhorn Likit Text Light"/>
        <charset val="222"/>
      </rPr>
      <t xml:space="preserve">S1-1
</t>
    </r>
    <r>
      <rPr>
        <sz val="14"/>
        <color theme="1" tint="0.499984740745262"/>
        <rFont val="Chulabhorn Likit Text Light"/>
        <charset val="134"/>
      </rPr>
      <t>KR 1C</t>
    </r>
  </si>
  <si>
    <t>4. งานหลักสูตรวิทยาศาสตรมหาบัณฑิต สาขาวิชาตจวิทยา (DM) 
: น.ส.ลักษิกา นาไข่</t>
  </si>
  <si>
    <t>KPI 1-1(1)C จำนวนวิชาในหลักสูตรระดับปริญญาบัณฑิและบัณฑิตศึกษา ที่บูรณาการ Flexible Time, Fixed Competency, Anytime Anywhere (MOOC/COURSE ระยะสั้น/ Credit bank) ที่ตอบสนองความต้องการของประเทศ (หน่วย: วิชา/ปี) (สะสม)</t>
  </si>
  <si>
    <r>
      <rPr>
        <sz val="14"/>
        <rFont val="Chulabhorn Likit Text Light"/>
        <charset val="222"/>
      </rPr>
      <t xml:space="preserve">S1-4-1
</t>
    </r>
    <r>
      <rPr>
        <sz val="14"/>
        <color theme="1" tint="0.499984740745262"/>
        <rFont val="Chulabhorn Likit Text Light"/>
        <charset val="134"/>
      </rPr>
      <t>KR 1C
KR 1D</t>
    </r>
  </si>
  <si>
    <t>5. งานหลักสูตรวิทยาศาสตรมหาบัณฑิต สาขาวิชาสุขภาพดิจิทัล (DH) 
: นางธิดารัตน์ พานิชกุล</t>
  </si>
  <si>
    <t>KPI 1-1(1)D จำนวนหลักสูตรระยะสั้นที่บูรณาการ Flexible Time, Fixed Competency, Anytime Anywhere (MOOC/COURSE ระยะสั้น/ Credit bank) ที่ตอบสนองความต้องการของประเทศ (หน่วย: หลักสูตร/ปี) (สะสม)</t>
  </si>
  <si>
    <r>
      <rPr>
        <sz val="14"/>
        <rFont val="Chulabhorn Likit Text Light"/>
        <charset val="222"/>
      </rPr>
      <t xml:space="preserve">S1-4-2
</t>
    </r>
    <r>
      <rPr>
        <sz val="14"/>
        <color theme="1" tint="0.499984740745262"/>
        <rFont val="Chulabhorn Likit Text Light"/>
        <charset val="134"/>
      </rPr>
      <t>KR 1C
KR 1D</t>
    </r>
  </si>
  <si>
    <t>6. งานหลักสูตรปรัชญาดุษฎีบัณฑิต สาขาวิชาฟิสิกส์การแพทย์และวิศวกรรมทางการแพทย์ (MPME) 
: นางธิดารัตน์ พานิชกุล</t>
  </si>
  <si>
    <t>7. งานหลักสูตรแพทย์ประจำบ้านและแพทย์ประจำบ้านต่อยอด
: น.ส.กชมน หมั่นหา</t>
  </si>
  <si>
    <t>2. โครงการพัฒนาและส่งเสริมให้นักศึกษามีคุณลักษณะบัณฑิตที่พึงประสงค์ ของวิทยาลัยฯ</t>
  </si>
  <si>
    <t>ผศ.นพ.วิสุทธิ์ ล้ำเลิศธน
(คณะกรรมการกิจการนักศึกษา)</t>
  </si>
  <si>
    <t>1. งานหลักสูตร (ทุกหลักสูตร)
: นักวิชาการศึกษาประจำหลักสูตร (แยกทุกหลักสูตร)</t>
  </si>
  <si>
    <t xml:space="preserve"> - ประสานงานส่งข้อมูล CRAMDPH ในแต่ละรายวิชาของหลักสูตรภายในกำหนดเวลา</t>
  </si>
  <si>
    <t>KPI 1-1(2) จำนวนบัณฑิตได้รับการยอมรับในระดับชาติและระดับนานาชาติ เช่น ได้รับรางวัล ได้รับการตอบรับในการเรียนต่อ  (หน่วย: คน/ปี)</t>
  </si>
  <si>
    <t>1. งานบริการการศึกษา วัด ประเมินผล และวิจัยการศึกษา
2. งานแพทยศาสตรศึกษาและการศึกษาก่อนปริญญา
3. งานบัณฑิตศึกษา</t>
  </si>
  <si>
    <t>KR 1A</t>
  </si>
  <si>
    <t xml:space="preserve">2. งานกิจการนักศึกษาและศิษย์เก่าสัมพันธ์
: น.ส.ชลดา แสงนาค
: น.ส.ชนัญญา รองสวัสดิ์
: นายนิธิพร หอมสุวรรณ
: น.ส.พัทธ์ธีรา แดดภู่
</t>
  </si>
  <si>
    <t xml:space="preserve"> - พัฒนาระบบและจัดทำกิจกรรมส่งเสริมให้นักศึกษามีคุณลักษณะบัณฑิตที่พึงประสงค์ </t>
  </si>
  <si>
    <t>KPI 1-1(3) ร้อยละของโครงการที่มีการส่งเสริม คุณลักษณะบัณฑิตที่พึงประสงค์ ที่ติดตามผ่านระบบ Dashboard (หน่วย: ร้อยละ/ปี)</t>
  </si>
  <si>
    <t xml:space="preserve">3. งานบริการการศึกษา วัด ประเมินผล และวิจัยการศึกษา
: น.ส.สุจิตรา ใจสุข
: น.ส.กรวรรณ เพชรานนท์
: น.ส.จริยาภรณ์ สวัสดิ์พูน 
: น.ส.บุญญรัตน์ นิ่มนวลพงษ์       </t>
  </si>
  <si>
    <t xml:space="preserve"> - ร่วมพัฒนาระบบติดตามข้อมูลนักศึกษา ตามคุณลักษณะบัณฑิตที่พึงประสงค์ </t>
  </si>
  <si>
    <t>KPI 1-1(4) ร้อยละของนักศึกษาที่ได้รับการส่งเสริมคุณลักษณะบัณฑิตที่พึงประสงค์ ตรงตามเป้าหมายของวิทยาลัยฯ โดยติดตามผ่านระบบ Dashboard (หน่วย: ร้อยละ/ปี)
*เกณฑ์ประเมิน*
- ร้อยละ 100 = 5 คะแนน
- มากกว่าหรือเท่ากับร้อยละ 95 = 4 คะแนน
- มากกว่าหรือเท่ากับร้อยละ 90 = 3 คะแนน
- มากกว่าหรือเท่ากับร้อยละ  85 = 2 คะแนน
- มากกว่าหรือเท่ากับร้อยละ  80 = 1 คะแนน</t>
  </si>
  <si>
    <t>KPI 1-1(5) อัตราการผ่านการประเมินผลลัพธ์การเรียนรู้ที่คาดหวังของนักศึกษาแต่ละหลักสูตร/จำนวนนักศึกษาทั้งหมดในแต่ละปี (หน่วย: ร้อยละ/ปี)</t>
  </si>
  <si>
    <t>1. งานแพทยศาสตรศึกษาและการศึกษาก่อนปริญญา
2. งานบัณฑิตศึกษา
3. งานบริการการศึกษา วัด ประเมินผล และวิจัยการศึกษา</t>
  </si>
  <si>
    <r>
      <rPr>
        <sz val="14"/>
        <rFont val="Chulabhorn Likit Text Light"/>
        <charset val="222"/>
      </rPr>
      <t xml:space="preserve">S1-5
</t>
    </r>
    <r>
      <rPr>
        <sz val="14"/>
        <color theme="1" tint="0.499984740745262"/>
        <rFont val="Chulabhorn Likit Text Light"/>
        <charset val="134"/>
      </rPr>
      <t>KR 1A</t>
    </r>
  </si>
  <si>
    <t xml:space="preserve"> 3. โครงการส่งเสริม Engagement ผ่านเครือข่ายความร่วมมือและภาคีศิษย์เก่า PSCM (มีข้อมูลบัณฑิตในแต่ละหลักสูตร)</t>
  </si>
  <si>
    <t xml:space="preserve">1. งานกิจการนักศึกษาและศิษย์เก่าสัมพันธ์
: น.ส.ชลดา แสงนาค
: น.ส.ชนัญญา รองสวัสดิ์
: นายนิธิพร หอมสุวรรณ
: น.ส.พัทธ์ธีรา แดดภู่
</t>
  </si>
  <si>
    <t xml:space="preserve"> - พัฒนาระบบและจัดทำกิจกรรมส่งเสริม Engagement ผ่านเครือข่ายความร่วมมือและภาคีศิษย์เก่า PSCM </t>
  </si>
  <si>
    <t>KPI 1-1(6) ร้อยละของจำนวนศิษย์เก่าผู้เข้าร่วมโครงการภาคีศิษย์เก่าสัมพันธ์ (หน่วย: ร้อยละ/ปี)
*เกณฑ์ประเมิน*
- มากกว่าหรือเท่ากับร้อยละ 70 = 5 คะแนน
- มากกว่าหรือเท่ากับร้อยละ 65 = 4 คะแนน
- มากกว่าหรือเท่ากับร้อยละ 60 = 3 คะแนน
- มากกว่าหรือเท่ากับร้อยละ  55 = 2 คะแนน
- มากกว่าหรือเท่ากับร้อยละ  50 = 1 คะแนน</t>
  </si>
  <si>
    <t>KPI 1-1(7) จำนวนโครงการที่ส่งเสริม Engagement ผ่านเครือข่ายความร่วมมือและภาคีศิษย์เก่าสัมพันธ์ (หน่วย: โครงการหรือกิจกรรม/ปี)</t>
  </si>
  <si>
    <t>4. โครงการพัฒนาระบบ PSCM ALUMNI Network (โครงการ)</t>
  </si>
  <si>
    <t xml:space="preserve">ผศ.นพ.วิสุทธิ์ ล้ำเลิศธน
(คณะกรรมการกิจการนักศึกษา)
ผศ.นพ.ธนพล ชอบเป็นไทย (คณะกรรมการ IT)
</t>
  </si>
  <si>
    <t xml:space="preserve">1. งานกิจการนักศึกษาและศิษย์เก่าสัมพันธ์
: น.ส.ชลดา แสงนาค
2. งานเทคโนโลยีสารสนเทศ โสตทัศนูปกรณ์ ห้องสมุดและอาคารสถานที่
: น.ส.กชมน หมั่นหา
: น.ส.กมลพร สุขสมพืช
</t>
  </si>
  <si>
    <t xml:space="preserve"> - ร่วมพัฒนาระบบ ประสานและติดตามข้อมูลบัณฑิต/ผู้ใช้บัณฑิต</t>
  </si>
  <si>
    <t>KPI 1-1(8) ระดับความสำเร็จของพัฒนาระบบ PSCM ALUMNI Network 
*เกณฑ์ประเมิน*
ระดับ 1 = จัดทำระบบฐานข้อมูลศิษย์เก่าของวิทยาลัยฯ
ระดับ 2 = ดำเนินจัดสรรงบประมาณพร้อมดำเนินโครงการส่งเสริมภาคีเครือข่ายศิษย์เก่าสัมพันธ์
ระดับ 3 = พัฒนาโครงการที่ส่งเสริมภาคีศิษย์เก่าสัมพันธ์
ระดับ 4 = สนับสนุนการจัดตั้งสมาคมศิษย์เก่าวิทยาลัยฯ พร้อมพัฒนากิจกรรมส่งเสริมต่อเนื่อง
ระดับ 5 = ศิษย์เก่าวิทยาลัยฯ สามารถเสนอหรือดำเนินโครงการส่งเสริมภาคีเครือข่ายผ่านสมาคมศิษย์เก่าวิทยาลัยฯ (หน่วย: โครงการหรือกิจกรรม/ปี)</t>
  </si>
  <si>
    <t>1. โครงการส่งเสริมศักยภาพนักศึกษาสู่ความเป็นเลิศ 
- โครงการเตรียมความพร้อมสู่การสอบวิชาชีพ 	
- โครงการเตรียมความพร้อมสู่การสมัครงาน (HDS)	
- โครงการ Job Fair</t>
  </si>
  <si>
    <t>ผศ.ดร.รจนภร พูลมานะอุสาหะกุล</t>
  </si>
  <si>
    <t xml:space="preserve">1. งานบริการการศึกษา ทะเบียนและประมวลผล
: น.ส.สุจิตรา ใจสุข
: น.ส.กรวรรณ เพชรานนท์
: น.ส.จริยาภรณ์ สวัสดิ์พูน
: น.ส.บุญญรัตน์ นิ่มนวลพงษ์        </t>
  </si>
  <si>
    <t>KPI 1-2(1) ร้อยละของนักศึกษาที่สอบผ่านตามเกณฑ์วิชาชีพภายในระยะเวลาที่กำหนด (หน่วย: ร้อยละ/ปี) (MD ก่อนสำเร็จการศึกษา, MP ภายในระยะเวลา 1 ปี หลังสำเร็จการศึกษา)</t>
  </si>
  <si>
    <t>1. งานบริการการศึกษา วัด ประเมินผล และวิจัยการศึกษา</t>
  </si>
  <si>
    <t>2. งานหลักสูตรวิทยาศาสตรมหาบัณฑิต สาขาวิชาฟิสิกส์การแพทย์ (MP) 
: น.ส.สุกัญญา ทิราพงษ์</t>
  </si>
  <si>
    <t>KPI 1-2(1)A ร้อยละของนักศึกษาฟิสิกส์การแพทย์ที่สอบผ่านตามเกณฑ์วิชาชีพภายในระยะเวลา 1 ปี หลังสำเร็จการศึกษา (หน่วย: ร้อยละ/ปี)</t>
  </si>
  <si>
    <t>3. งานหลักสูตรแพทยศาสตรบัณฑิต
: นายอธิพงษ์ ราชเนตร
: นางสาววรรณา การเฉื่อยเฉิน
: นางสาวปวันรัตน์ ศรีพรหม
: นางสาวอภันตรี นาคอำไพ
: นางสาวสุกัญญา จันดาพืช
: นางสาวธัญรัตน์ จีนมหันต์</t>
  </si>
  <si>
    <t>KPI 1-2(1)B ร้อยละของนักศึกษาแพทย์ที่สอบผ่านตามเกณฑ์วิชาชีพ NL 1-3 ก่อนสำเร็จการศึกษา (หน่วย: ร้อยละ/ปี)</t>
  </si>
  <si>
    <t>KPI 1-2(1)B1 ร้อยละของนักศึกษาแพทย์ที่สอบผ่านตามเกณฑ์วิชาชีพ NL-1 (หน่วย: ร้อยละ/ปี)</t>
  </si>
  <si>
    <t>KPI 1-2(1)B2 ร้อยละของนักศึกษาแพทย์ที่สอบผ่านตามเกณฑ์วิชาชีพ NL-2 (หน่วย: ร้อยละ/ปี)</t>
  </si>
  <si>
    <t>KPI 1-2(1)B3 ร้อยละของนักศึกษาแพทย์ที่สอบผ่านตามเกณฑ์วิชาชีพ NL-3 ก่อนสำเร็จการศึกษา (หน่วย: ร้อยละ/ปี)</t>
  </si>
  <si>
    <t>4. คณะกรรมการ VOC
: น.ส.ชญานิศ ดวงขจี
: น.ส.สุจิตรา ใจสุข</t>
  </si>
  <si>
    <t xml:space="preserve"> - จัดทำแบบสำรวจ VOC ของบัณฑิตที่จบการศึกษา/ผู้ใช้บัณฑิต/ผู้มีส่วนได้ส่วนเสีย</t>
  </si>
  <si>
    <t>KPI 1-2(2) ร้อยละของบัณฑิตที่ได้งานทำหรือศึกษาต่อในระดับสูง (หน่วย: ร้อยละ/ปี)
(ภายในระยะเวลา 6 เดือน หลังจากสำเร็จการศึกษา)</t>
  </si>
  <si>
    <t>1. งานบริการการศึกษา วัด ประเมินผล และวิจัยการศึกษา
2. งานพัฒนาคุณภาพ และบริหารความเสี่ยง</t>
  </si>
  <si>
    <t>2. โครงการพัฒนาระบบ VOC</t>
  </si>
  <si>
    <t>รศ.นพ.ธีรภัทร อึ้งตระกูล</t>
  </si>
  <si>
    <t>1. คณะกรรมการ VOC
: น.ส.ชญานิศ ดวงขจี
: น.ส.สุจิตรา ใจสุข</t>
  </si>
  <si>
    <t xml:space="preserve"> - พัฒนาระบบ VOC ให้สอดคล้องกับนโยบายรจภ.
 - ออกแบบกระบวนการการจัดการที่ตอบสนองต่อผล VOC</t>
  </si>
  <si>
    <t>KPI 1-2(3) ร้อยละความพึงพอใจของนายจ้างต่อคุณภาพบัณฑิต ระดับมาก-มากที่สุด (คะแนน 4 เต็ม 5)</t>
  </si>
  <si>
    <r>
      <rPr>
        <sz val="14"/>
        <rFont val="Chulabhorn Likit Text Light"/>
        <charset val="134"/>
      </rPr>
      <t xml:space="preserve">S1-3
</t>
    </r>
    <r>
      <rPr>
        <sz val="14"/>
        <color theme="1" tint="0.499984740745262"/>
        <rFont val="Chulabhorn Likit Text Light"/>
        <charset val="134"/>
      </rPr>
      <t>KR 1A</t>
    </r>
  </si>
  <si>
    <t>2. งานแพทยศาสตรศึกษาและการศึกษาก่อนปริญญา
: นายอธิพงษ์ ราชเนตร
3. งานบัณฑิตศึกษา
: น.ส.สุกัญญา ทิราพงษ์</t>
  </si>
  <si>
    <t>KPI 1-2(4) ร้อยละความพึงพอใจของบัณฑิตที่มีต่อหลักสูตรของ วพศส. ระดับมาก-มากที่สุด (คะแนน 4 เต็ม 5)</t>
  </si>
  <si>
    <t>1. งานบริการการศึกษา วัด ประเมินผล และวิจัยการศึกษา
2. งานพัฒนาคุณภาพ และบริหารความเสี่ยง
3. งานแพทยศาสตรศึกษาและการศึกษาก่อนปริญญา
4. งานบัณฑิตศึกษา</t>
  </si>
  <si>
    <r>
      <rPr>
        <sz val="14"/>
        <rFont val="Chulabhorn Likit Text Light"/>
        <charset val="134"/>
      </rPr>
      <t xml:space="preserve">3. โครงการประเมินคุณภาพหลักสูตรระดับเกณฑ์มาตรฐานสากล
</t>
    </r>
    <r>
      <rPr>
        <sz val="14"/>
        <color rgb="FFFF0000"/>
        <rFont val="Chulabhorn Likit Text Light"/>
        <charset val="134"/>
      </rPr>
      <t>เสนอเพิ่ม KPI: เสนอให้เพิ่มในยุทธที่ 4 “ระดับความสำเร็จของการจัดทำฐานข้อมูลระบบการประเมินคุณภาพการศึกษาระดับหลักสูตร และระดับวิทยาลัย” เพื่อให้สอดรับกับโครงการที่ 3</t>
    </r>
  </si>
  <si>
    <t xml:space="preserve">ผศ.พญ.ศศิกาญจน์ จำจด </t>
  </si>
  <si>
    <t>1. งานพัฒนาคุณภาพ และบริหารความเสี่ยง
: น.ส.ชญานิศ ดวงขจี</t>
  </si>
  <si>
    <t xml:space="preserve"> - จัดทำโครงการ ประสานงานเครือข่าย ดำเนินการ และติดตามข้อมูลตัวชี้วัด
 - จัดทำฐานข้อมูลระบบการประเมินคุณภาพการศึกษาระดับหลักสูตร และระดับวิทยาลัย</t>
  </si>
  <si>
    <t>KPI 1-2(5) ร้อยละของหลักสูตรผ่านการประเมินคุณภาพตามเกณฑ์มาตรฐานสากลหลังเปิดหลักสูตร 5 ปี (หรือ 1 ปีหลังมีบัณฑิตรุ่นแรก) (หน่วย: ร้อยละ/ปี)
 - ทุกหลักสูตรยกเว้นหลักสูตรแพทยศาสตรบัณฑิต จะต้องได้รับการประเมินไม่น้อยกว่า 4 คะแนน ตามเกณฑ์ AUN-QA</t>
  </si>
  <si>
    <t>1. งานพัฒนาคุณภาพ และบริหารความเสี่ยง
2. งานแพทยศาสตรศึกษาและการศึกษาก่อนปริญญา
3. งานบัณฑิตศึกษา</t>
  </si>
  <si>
    <t xml:space="preserve">1. โครงการพัฒนาห้องปฏิบัติการสร้างต้นแบบนวัตกรรม Innovation Zone </t>
  </si>
  <si>
    <t>อาจารย์ ดร.ทศพร เฟื่องรอด</t>
  </si>
  <si>
    <t>1. งานบริหารวิจัย นวัตกรรมและทรัพย์สินทางปัญญา
: นายกิตติธัชพงษ์ วิชาช่าง
: น.ส.มนชนก มากพุ่ม
: น.ส.ศิริพร ภูมิชุมแพ
: น.ส.หฤทัย บงแก้ว
: น.ส.วิมลสิริ กาวิลเครือ</t>
  </si>
  <si>
    <t>KPI 1-3(1) ความพร้อมของการใช้งานห้องปฏิบัติการสร้างต้นแบบนวัตกรรม Innovation Zone (หน่วย: ร้อยละ/ปี)</t>
  </si>
  <si>
    <t>1. โครงการพัฒนาแพลตฟอร์ม Medical school digital DIY 
 -  MY PSCM
 - Smart E-portfolio 
 - Metaverse of PSCM</t>
  </si>
  <si>
    <t>ผศ.นพ.ธนพล ชอบเป็นไทย (คณะกรรมการ การศึกษา)</t>
  </si>
  <si>
    <t xml:space="preserve">1. งานเทคโนโลยีสารสนเทศ โสตทัศนูปกรณ์ ห้องสมุดและอาคารสถานที่
: น.ส.กชมน หมั่นหา
: น.ส.กมลพร สุขสมพืช
: น.ส.ชนม์ชนก ยิ่งไพบูลย์
: น.ส.นิภาภัทร์ วรวัฒน์
: นายวัชรากร  แสงเพ็ง
; นายรัชชานนท์ รัตนคาม
: น.ส.ธนัชชา แสนวัง
</t>
  </si>
  <si>
    <t xml:space="preserve"> - จัดทำโครงการพัฒนาแพลตฟอร์ม Medical school digital DIY ประสานงานและติดตามข้อมูล</t>
  </si>
  <si>
    <t>KPI 1-4(1) ระดับความสำเร็จของระบบ online self-service (หน่วย: ร้อยละ/ปี)</t>
  </si>
  <si>
    <r>
      <rPr>
        <sz val="14"/>
        <rFont val="Chulabhorn Likit Text Light"/>
        <charset val="134"/>
      </rPr>
      <t xml:space="preserve">S1-6
</t>
    </r>
    <r>
      <rPr>
        <sz val="14"/>
        <color theme="1" tint="0.499984740745262"/>
        <rFont val="Chulabhorn Likit Text Light"/>
        <charset val="134"/>
      </rPr>
      <t>KR 1B</t>
    </r>
  </si>
  <si>
    <t>1. MY PSCM
ระดับ 1 = เก็บรวบรวมความต้องการของหลักสูตรของ logbook, vertical modules และ CRAMDPH 
ระดับ 2 = เพิ่มระบบ AI chat bot ตอบปัญหาการใช้งานด้านเทคโนโลยีการศึกษา
ระดับ 3= เพิ่มการอัพโหลดเอกสารสำคัญและมีการรักษาความปลอดภัย
ระดับ 4 = เพิ่มTelehealth ปรึกษากับอาจารย์ได้โดยตรง
ระดับ 5 = นำร่องการใช้ระบบ GPS ยืนยันการเข้าร่วมกิจกรรมต่างๆ</t>
  </si>
  <si>
    <r>
      <rPr>
        <sz val="14"/>
        <rFont val="Chulabhorn Likit Text Light"/>
        <charset val="134"/>
      </rPr>
      <t xml:space="preserve">2. Smart E-portfolio (วาระแห่งปี)
ระดับ 1 = ก็บรวบรวมความต้องการของหลักสูตรของ logbook, vertical modules และ CRAMDPH </t>
    </r>
    <r>
      <rPr>
        <strike/>
        <sz val="14"/>
        <rFont val="Chulabhorn Likit Text Light"/>
        <charset val="134"/>
      </rPr>
      <t xml:space="preserve">
</t>
    </r>
    <r>
      <rPr>
        <sz val="14"/>
        <rFont val="Chulabhorn Likit Text Light"/>
        <charset val="134"/>
      </rPr>
      <t>ระดับ 2 = ปรับปรุงระบบsmart E-portfolio มีการเก็บassessment</t>
    </r>
    <r>
      <rPr>
        <strike/>
        <sz val="14"/>
        <rFont val="Chulabhorn Likit Text Light"/>
        <charset val="134"/>
      </rPr>
      <t xml:space="preserve">
</t>
    </r>
    <r>
      <rPr>
        <sz val="14"/>
        <rFont val="Chulabhorn Likit Text Light"/>
        <charset val="134"/>
      </rPr>
      <t>ระดับ 3= Integrated CRAMDPH ในทุกมิติ ใช้งานได้ครบทุกฟังชั่นพร้อมสำหรับปริ้นให้ใช้งาน
ระดับ 4 = เชื่อมต่อกับ PSCM metaverse
ระดับ 5 = พัฒนา App PSCM smart E-portfolio ดูผลแบบ real time</t>
    </r>
  </si>
  <si>
    <t>3. Metaverse of PSCM
ระดับ 1 = Avatar and PSCM building
ระดับ 2 = OR in metaverse
ระดับ 3 = Online learning and assessment
ระดับ 4 = Exercise and sport complex
ระดับ 5 = Innovation workshop for student</t>
  </si>
  <si>
    <t xml:space="preserve">2. โครงการส่งเสริมการเรียนรู้ให้กับนักศึกษาเกี่ยวกับ Digital Literacy </t>
  </si>
  <si>
    <t>1. งานเทคโนโลยีสารสนเทศ โสตทัศนูปกรณ์ ห้องสมุดและอาคารสถานที่
: น.ส.กชมน หมั่นหา
: น.ส.กมลพร สุขสมพืช
: น.ส.ชนม์ชนก ยิ่งไพบูลย์
: น.ส.นิภาภัทร์ วรวัฒน์
: นายวัชรากร  แสงเพ็ง
; นายรัชชานนท์ รัตนคาม
: น.ส.ธนัชชา แสนวัง</t>
  </si>
  <si>
    <t xml:space="preserve"> - อบรมการใช้งาน
 - จัดทำคู่มือการใช้งาน Platform</t>
  </si>
  <si>
    <t>KPI 1-4(2) ร้อยละของนักศึกษาที่เข้าใช้งานระบบแพลตฟอร์ม Medical school digital DIY  (หน่วย: ร้อยละ/ปี)</t>
  </si>
  <si>
    <t xml:space="preserve"> - จัดทำแบบประเมิน และฐานข้อมูลผลการประเมินกการใช้งาน Platform</t>
  </si>
  <si>
    <t>KPI 1-4(3) ร้อยละผลการประเมินประโยชน์ต่อการเรียนรู้ในแพลตฟอร์ม Medical school digital DIY ระดับมาก-มากที่สุด (หน่วย: ร้อยละ/ปี)</t>
  </si>
  <si>
    <r>
      <rPr>
        <sz val="14"/>
        <rFont val="Chulabhorn Likit Text Light"/>
        <charset val="134"/>
      </rPr>
      <t xml:space="preserve">S1-6
</t>
    </r>
    <r>
      <rPr>
        <sz val="14"/>
        <color theme="1" tint="0.499984740745262"/>
        <rFont val="Chulabhorn Likit Text Light"/>
        <charset val="134"/>
      </rPr>
      <t>KR 1B
KR 4E</t>
    </r>
  </si>
  <si>
    <r>
      <rPr>
        <b/>
        <sz val="14"/>
        <color rgb="FF000000"/>
        <rFont val="Chulabhorn Likit Text Light"/>
        <charset val="134"/>
      </rPr>
      <t xml:space="preserve">SM 2-1 ส่งเสริม ขับเคลื่อน กลุ่มวิจัยมุ่งเป้าขั้นแนวหน้า (Frontier) เพื่อสร้างงานวิจัยและนวัตกรรมที่มี impact สูง โดยเน้นความร่วมมือสหสาขากับหน่วยงานทั้งในประเทศและต่างประเทศ
</t>
    </r>
    <r>
      <rPr>
        <b/>
        <sz val="14"/>
        <color rgb="FFFF0000"/>
        <rFont val="Chulabhorn Likit Text Light"/>
        <charset val="134"/>
      </rPr>
      <t>SM 2-1 ส่งเสริม ขับเคลื่อน จัดตั้ง Center of Excellences เพื่อสนับสนุนงานวิจัยแนวหน้า (Frontier) สร้างงานวิจัยและนวัตกรรมที่มี impact สูง และนำไปใช้ประโยชน์ต่อประเทศชาติ</t>
    </r>
  </si>
  <si>
    <t>1. โครงการพัฒนางานวิจัยที่มีผลกระทบสูง</t>
  </si>
  <si>
    <t>ผศ.ดร.ดนุพล นันทจิต
(คณะกรรมการวิจัย)</t>
  </si>
  <si>
    <t xml:space="preserve"> - จัดทำโครงการ แผนงาน งบประมาณ</t>
  </si>
  <si>
    <t>KPI 2-1(1) จำนวนผลงานตีพิมพ์ Q1 (หน่วย: ผลงาน/ปี)</t>
  </si>
  <si>
    <t>S2-2
KR 2B</t>
  </si>
  <si>
    <t xml:space="preserve"> - จัดทำระบบฐานข้อมูลและติดตามข้อมูล</t>
  </si>
  <si>
    <t>KPI 2-1(2) จำนวนผลงานตีพิมพ์ระดับนานาชาติทั้งหมด (หน่วย: ผลงาน/ปี)</t>
  </si>
  <si>
    <t>2. คณะกรรมการกลั่นกรองและติดตามทุนวิจัยมุ่งเป้า</t>
  </si>
  <si>
    <t xml:space="preserve"> - จัดทำรายงานผลการดำเนินงานประจำเดือน</t>
  </si>
  <si>
    <t>KPI2-1(3) สัดส่วนไม่น้อยกว่าร้อยละ 50 ของผลงานตีพิมพ์ Q1 ต่อจำนวนอาจารย์ (หน่วย: ร้อยละ/ปี)</t>
  </si>
  <si>
    <t>2. โครงการผลักดันการสร้างผลงานนวัตกรรมที่มีผลกระทบสูง</t>
  </si>
  <si>
    <t xml:space="preserve"> - จัดทำโครงการ แผนงาน งบประมาณ
 - จัดทำระบบฐานข้อมูลและติดตามข้อมูล
 - จัดทำรายงานผลการดำเนินงานประจำเดือน</t>
  </si>
  <si>
    <t>KPI 2-1(4) จำนวนนวัตกรรมบริการสุขภาพ (หน่วย: ผลงาน/ปี) (นับฉพาะงานใหม่)</t>
  </si>
  <si>
    <t>S2-3
KR 2C</t>
  </si>
  <si>
    <t xml:space="preserve"> - ประชุมกลุ่มวิจัยมุ่งเป้า
 - สร้างทีมวิจัย
 - จัดทำโครงการวิจัยมุ่งเป้า</t>
  </si>
  <si>
    <t>KPI 2-1(5) จำนวนผลงานวิจัย และนวัตกรรมที่นำไปใช้ประโยชน์ต่อชุมชน สังคม การศึกษา ประเทศชาติ เชิงพาณิชย์ เชิงนโยบาย ที่อยู่ในระดับ TRL/SRL 4-9 (หน่วย: ผลงาน/ปี)</t>
  </si>
  <si>
    <t>S2-1
KR 2A</t>
  </si>
  <si>
    <t>KPI 2-1(6) จำนวนงานวิจัยหรือนวัตกรรมที่ได้ยื่นการจดสิทธิบัตรหรืออนุสิทธิบัตร (หน่วย: เรื่อง/ปี)</t>
  </si>
  <si>
    <t>KPI 2-1(7) จำนวนงานวิจัยหรือนวัตกรรมที่ได้ยื่นการจดแจ้งลิขสิทธิ์ (หน่วย: เรื่อง/ปี/คน)</t>
  </si>
  <si>
    <r>
      <rPr>
        <sz val="14"/>
        <rFont val="Chulabhorn Likit Text Light"/>
        <charset val="134"/>
      </rPr>
      <t xml:space="preserve">3. โครงการพัฒนางานวิจัยกับหน่วยงานภายนอก ทั้งในและต่างประเทศ *
</t>
    </r>
    <r>
      <rPr>
        <sz val="14"/>
        <color rgb="FFFF0000"/>
        <rFont val="Chulabhorn Likit Text Light"/>
        <charset val="134"/>
      </rPr>
      <t xml:space="preserve"> - สร้างความร่วมมือสหสาขากับหน่วยงานทั้งในประเทศและต่างประเทศ</t>
    </r>
  </si>
  <si>
    <t xml:space="preserve">1. งานบริหารวิจัย นวัตกรรมและทรัพย์สินทางปัญญา
: นายกิตติธัชพงษ์ วิชาช่าง
: น.ส.มนชนก มากพุ่ม
: น.ส.ศิริพร ภูมิชุมแพ
: น.ส.หฤทัย บงแก้ว
: น.ส.วิมลสิริ กาวิลเครือ
2. งานเลขานุการคณบดี สารบรรณ การบริหารเครือข่าย วิเทศสัมพันธ์ และกิจกรรมพิเศษ
: นางนงลักษณ์ ภูมิไพบูลย์
: น.ส.พรนภา แซ่โง้ว
: น.ส.ณปริญญ์ วัฒนศิลป์
: นางสุนัทที เกษสังข์ 
</t>
  </si>
  <si>
    <t xml:space="preserve"> - จัดทำโครงการ งบประมาณ และกำหนดการ
 - จัดทำระบบฐานข้อมูลและติดตามข้อมูล
 - ช่วยประสานงานหน่วยงานต่างประเทศ</t>
  </si>
  <si>
    <t>KPI 2-1(8) จำนวนโครงการวิจัยใหม่ที่มีความร่วมมือกับหน่วยงานภายนอก ทั้งในและต่างประเทศ (หน่วย: เรื่อง/ปี)</t>
  </si>
  <si>
    <t>SM 2-2 พัฒนางานวิจัยและนวัตกรรมเชิงปัญญาประดิษฐ์ทางการแพทย์</t>
  </si>
  <si>
    <t>1. โครงการพัฒนากลุ่มวิจัยสหวิทยาการสำหรับปัญญาประดิษฐ์ด้านการแพทย์ (Interdisciplinary research group for AI in medicine)</t>
  </si>
  <si>
    <t>อ.ดร.ทศพร เฟื่องรอด
(คณะกรรมการวิจัย+AI)</t>
  </si>
  <si>
    <t>1. ประธานกลุ่มวิจัยมุ่งเป้าทั้ง 6 กลุ่ม</t>
  </si>
  <si>
    <t>KPI 2-2(1) จำนวนผลงานวิจัย นวัตกรรม และต้นแบบผลิตภัณฑ์เชิงปัญญาประดิษฐ์ (หน่วย: เรื่องต่อปี)</t>
  </si>
  <si>
    <t>2. งานบริหารวิจัย นวัตกรรมและทรัพย์สินทางปัญญา
: นายกิตติธัชพงษ์ วิชาช่าง</t>
  </si>
  <si>
    <t xml:space="preserve"> - เตรียมความพร้อมด้านสถานที่
 - สำรวจความต้องการด้านครุภัณฑ์
 - จัดทำระบบฐานข้อมูลและติดตามข้อมูล</t>
  </si>
  <si>
    <t>KPI 2-2(2) จำนวนผลงานวิจัยและนวัตกรรมจาก Innovation Hub (หน่วย: ผลงาน/ปี)</t>
  </si>
  <si>
    <r>
      <rPr>
        <b/>
        <sz val="14"/>
        <color rgb="FF000000"/>
        <rFont val="Chulabhorn Likit Text Light"/>
        <charset val="134"/>
      </rPr>
      <t>SP 2(2): R&amp;D facility and resources readiness</t>
    </r>
    <r>
      <rPr>
        <b/>
        <sz val="14"/>
        <color rgb="FFFF0000"/>
        <rFont val="Chulabhorn Likit Text Light"/>
        <charset val="134"/>
      </rPr>
      <t xml:space="preserve">
SP 2(2): Research Development and Innovation (RDI) Eco-system </t>
    </r>
  </si>
  <si>
    <t>SM 2-3 พัฒนาระบบสนับสนุนงานวิจัยครบวงจร (One stop service)</t>
  </si>
  <si>
    <t>1. พัฒนาระบบบริหารจัดการวิจัยภายในคณะแบบครบวงจร (One-Stop Service)</t>
  </si>
  <si>
    <t>1. งานบริหารวิจัย นวัตกรรมและทรัพย์สินทางปัญญา
: นายกิตติธัชพงษ์ วิชาช่าง
: น.ส.มนชนก มากพุ่ม
: น.ส.ศิริพร ภูมิชุมแพ
: น.ส.หฤทัย บงแก้ว</t>
  </si>
  <si>
    <t>1. พัฒนาระบบ Research coordinator ภายในคณะ</t>
  </si>
  <si>
    <t>KPI 2-3(1) ร้อยละความพึงพอใจระบบสนับสนุนงานวิจัย ของอาจารย์และนักวิจัย (หน่วย: ร้อยละ/ปี)</t>
  </si>
  <si>
    <t>2. พัฒนาระบบสารสนเทศสนับสนุนด้านข้อมูลทุนและติดตามผลงานวิจัยและนวัตกรรม ระดับวิทยาลัยฯ</t>
  </si>
  <si>
    <t xml:space="preserve">3. พัฒนาระบบมาตรฐาน (SOP) และทุนสนับสนุนงานวิจัยและนวัตกรรมสำหรับอาจารย์ บุคลากรสายสนับสนุน นักศึกษา เพื่อสนับสนุนงานวิจัยครบวงจร </t>
  </si>
  <si>
    <r>
      <rPr>
        <b/>
        <sz val="14"/>
        <color rgb="FF000000"/>
        <rFont val="Chulabhorn Likit Text Light"/>
        <charset val="134"/>
      </rPr>
      <t xml:space="preserve">SM 2-4 ทุนสนับสนุนงานวิจัยและนวัตกรรมสำหรับอาจารย์ บุคลากรสายสนับสนุน และนักศึกษา
</t>
    </r>
    <r>
      <rPr>
        <b/>
        <sz val="14"/>
        <color rgb="FFFF0000"/>
        <rFont val="Chulabhorn Likit Text Light"/>
        <charset val="134"/>
      </rPr>
      <t>SM 2-4 พัฒนาสนามจำลอง (Sandbox) เพื่อสนับสนุนการสร้างสปินออฟ (spinoff) และต่อยอดงานวิจัยและนวัตกรรมทางการแพทย์ในเชิงพาณิชย์</t>
    </r>
  </si>
  <si>
    <t>1. โครงการส่งเสริมการขอทุนวิจัยและพัฒนานวัตกรรมจากองค์กรภายนอก เพื่อรองรับการพัฒนางานนวัตกรรมและสิ่งประดิษฐ์ ในเชิงพาณิชย์ และให้คำปรึกษาสำหรับผู้เริ่มต้นทำงานวิจัยและนวัตกรรม</t>
  </si>
  <si>
    <t xml:space="preserve"> - จัดทำโครงการ งบประมาณ
 - พัฒนาระบบฐานข้อมูลและติดตามข้อมูล โดยใช้แพลตฟอร์ม</t>
  </si>
  <si>
    <t>KPI 2-4(1) จำนวนโครงการที่ได้รับเงินทุนวิจัยจากแหล่งทุนภายนอกมากกว่า 3 ล้านบาทต่อปี (หน่วย: โครงการ/ปี)</t>
  </si>
  <si>
    <t>S2-4
KR 2D</t>
  </si>
  <si>
    <t>KPI 2-4(2) จำนวนเงินงบประมาณที่ได้รับจากแหล่งทุนภายนอก (หน่วย: ล้านบาท/ปี)</t>
  </si>
  <si>
    <t>KPI 2-4(3) จำนวนเงินงบประมาณที่ได้รับจากแหล่งทุนภายนอกและภายในต่อผู้วิจัย (หน่วย: ล้านบาท/คน/ปี)</t>
  </si>
  <si>
    <t>2. โครงการพัฒนาสนามจำลอง (Sandbox) เพื่อสนับสนุนการสร้างสปินออฟ (spinoff) และต่อยอดงานวิจัยและนวัตกรรมทางการแพทย์ในเชิงพาณิชย์</t>
  </si>
  <si>
    <t xml:space="preserve"> - เตรียมความพร้อมด้านสถานที่
 - สำรวจความต้องการ
 - จัดทำโครงการ งบประมาณ กำหนดการ</t>
  </si>
  <si>
    <t>KPI 2-4(4) จำนวนผลงานวิจัย/นวัตกรรมที่ต่อยอดสู่เชิงพาณิชย์ (หน่วย: ผลงาน/ปี)</t>
  </si>
  <si>
    <t>3. โครงการสร้างระบบสนับสนุนการเผยแพร่ผลงานวิจัยในต่างประเทศ</t>
  </si>
  <si>
    <t>ผศ.ดร.ดนุพล นันทจิต
(คณะกรรมการวิจัย)
(คณะกรรมการวิเทศสัมพันธ์)</t>
  </si>
  <si>
    <t>2. งานบริหารวิจัย นวัตกรรมและทรัพย์สินทางปัญญา
: นายกิตติธัชพงษ์ วิชาช่าง
: น.ส.มนชนก มากพุ่ม
: น.ส.ศิริพร ภูมิชุมแพ
: น.ส.หฤทัย บงแก้ว</t>
  </si>
  <si>
    <t>KPI 2-4(5) จำนวนผลงานวิจัยที่ได้รับการนำเสนอในการประชุมวิชาการระดับนานาชาติ (หน่วย: ผลงาน/ปี)</t>
  </si>
  <si>
    <t>1. งานบริหารเครือข่าย วิเทศสัมพันธ์และกิจกรรมพิเศษ
: น.ส.พรนภา แซ่โง้ว
: น.ส.ณปริญญ์ วัฒนศิลป์</t>
  </si>
  <si>
    <t xml:space="preserve"> - ช่วยประสานหน่วยงานต่างประเทศ</t>
  </si>
  <si>
    <t>SM 2-5 พัฒนาระบบกำลังคนด้านการวิจัยที่สนับสนุนทิศทางการวิจัยของวิทยาลัยแพทยศาสตร์ฯ</t>
  </si>
  <si>
    <t xml:space="preserve">1. สรรหาบุคลากรดูแลห้องปฏิบัติการวิจัยและผู้ช่วยนักวิจัย </t>
  </si>
  <si>
    <t>ผศ.นสพ.ดร.พีรุทย์ เชียรวิชัย
(คณะกรรมการ HR)</t>
  </si>
  <si>
    <t>1. งานบริหารทรัพยากรมนุษย์ฯ (PA บุคลากร)
: น.ส.พัชรี ยะคะเสม
2. งานบริหารวิจัย นวัตกรรมและทรัพย์สินทางปัญญา
: นายกิตติธัชพงษ์ วิชาช่าง</t>
  </si>
  <si>
    <t>1. ดำเนินการตามแผนสรรหาบุคลากรตามแผนยุทธศาสตร์วพศส. ระยะ 6 ปี</t>
  </si>
  <si>
    <t xml:space="preserve">KPI 2-5(1) จำนวนบุคลากรที่สนับสนุนทิศทางวิจัยของวิทยาลัยฯ เพิ่มขึ้นต่อปี (หน่วย: คน/ปี) </t>
  </si>
  <si>
    <t>SM 2-6 ส่งเสริมการมีส่วนร่วมในการพัฒนางานวิจัยและนวัตกรรมในนักศึกษา บุคลากรสายสนับสนุน และอาจารย์</t>
  </si>
  <si>
    <t>1. โครงการเพิ่มศักยภาพบุคลากรสายสนับสนุนด้าน R2R (แต่ละโครงการมีส่วนร่วมได้หลายคน)</t>
  </si>
  <si>
    <t>1. งานบริหารทรัพยากรมนุษย์ฯ (PA บุคลากร)
: น.ส.พัชรี ยะคะเสม</t>
  </si>
  <si>
    <t xml:space="preserve"> - จัดทำโครงการอบรมเพื่อเพิ่มศักยภาพบุคลากรสายสนับสนุนด้าน R2R งบประมาณ และกำหนดการ </t>
  </si>
  <si>
    <t>KPI 2-6(1) จำนวนโครงการวิจัย R2R (หน่วย: โครงการ/ปี) (สะสม)</t>
  </si>
  <si>
    <t>S2-5
KR 2E</t>
  </si>
  <si>
    <t>2. งานบริหารวิจัย นวัตกรรมและทรัพย์สินทางปัญญา
: นายกิตติธัชพงษ์ วิชาช่าง
: น.ส.มนชนก มากพุ่ม</t>
  </si>
  <si>
    <t xml:space="preserve"> - จัดทำขั้นตอนสนับสนุนการทำงานวิจัย R2R
 - ดำเนินการเก็บข้อมูล
 - จัดทำระบบฐานข้อมูลและติดตามข้อมูล
 - จัดทำรายงานข้อมูล</t>
  </si>
  <si>
    <t>2. โครงการพัฒนางานวิจัยและสร้างนวัตกรรม สำหรับนักศึกษา</t>
  </si>
  <si>
    <t>1. งานบริหารวิจัย นวัตกรรมและทรัพย์สินทางปัญญา
: นายกิตติธัชพงษ์ วิชาช่าง
: น.ส.มนชนก มากพุ่ม</t>
  </si>
  <si>
    <t xml:space="preserve"> - จัดทำโครงการ งบประมาณ และจัดซื้อจัดจ้างพัสดุ
 - จัดทำระบบฐานข้อมูลและติดตามข้อมูล</t>
  </si>
  <si>
    <t>KPI 2-6(2) จำนวนของนักศึกษาที่นำเสนอผลงานหรือตีพิมพ์ (หน่วย: คน/ปี)</t>
  </si>
  <si>
    <t>3. โครงการทุนสำหรับนักศึกษาสำหรับทำงานวิจัยและนำเสนอผลงาน/ตีพิมพ์</t>
  </si>
  <si>
    <t xml:space="preserve"> - จัดทำโครงการ งบประมาณ และกำหนดการ
 - จัดทำระบบฐานข้อมูลและติดตามข้อมูล
 - จัดทำรายงานข้อมูล</t>
  </si>
  <si>
    <r>
      <rPr>
        <b/>
        <sz val="14"/>
        <color rgb="FF000000"/>
        <rFont val="Chulabhorn Likit Text Light"/>
        <charset val="134"/>
      </rPr>
      <t xml:space="preserve">Engaging with a community for a healthy society
การมีส่วนร่วมกับชุมชนเพื่อสังคมที่มีสุขภาพดี (Engaging with a community for a healthy society)
</t>
    </r>
    <r>
      <rPr>
        <b/>
        <sz val="14"/>
        <color rgb="FFFF0000"/>
        <rFont val="Chulabhorn Likit Text Light"/>
        <charset val="134"/>
      </rPr>
      <t>การมีส่วนร่วมของชุมชนเพื่อส่งเสริมสังคมสุขภาพดี (Community Engagement for Promoting Healthy Societies)</t>
    </r>
  </si>
  <si>
    <r>
      <rPr>
        <b/>
        <sz val="14"/>
        <color rgb="FF000000"/>
        <rFont val="Chulabhorn Likit Text Light"/>
        <charset val="134"/>
      </rPr>
      <t xml:space="preserve">SP 3(1): Engage and network with local communities to improve health
</t>
    </r>
    <r>
      <rPr>
        <b/>
        <sz val="14"/>
        <color rgb="FFFF0000"/>
        <rFont val="Chulabhorn Likit Text Light"/>
        <charset val="134"/>
      </rPr>
      <t>SP 3(1): Establish partnerships and mechanisms for developing sustainable healthy communities)</t>
    </r>
  </si>
  <si>
    <r>
      <rPr>
        <b/>
        <sz val="14"/>
        <color rgb="FF000000"/>
        <rFont val="Chulabhorn Likit Text Light"/>
        <charset val="134"/>
      </rPr>
      <t xml:space="preserve">SM 3-1 สร้างเครือข่ายและกลไกในการพัฒนาชุมชนสร้างเสริมสุขภาพอย่างเป็นระบบและยั่งยืน
</t>
    </r>
    <r>
      <rPr>
        <b/>
        <sz val="14"/>
        <color rgb="FFFF0000"/>
        <rFont val="Chulabhorn Likit Text Light"/>
        <charset val="134"/>
      </rPr>
      <t>SM 3-1 แสวงหาภาคีเครือข่ายเพื่อสร้างกลไกในการพัฒนาชุมชนสุขภาพดีอย่างเป็นระบบและยั่งยืน</t>
    </r>
  </si>
  <si>
    <t>1. ดำเนินการแสวงหาภาคีเครือข่ายเพื่อสร้างกลไกในการพัฒนาชุมชนสุขภาพดีอย่างเป็นระบบและยั่งยืน</t>
  </si>
  <si>
    <t>1. งานบริการวิชาการและสังคมฯ
: น.ส.อภิรดี เฉลิมทิตย์
: น.ส.ปรีญารัตน์ สังกระธาตุ</t>
  </si>
  <si>
    <t xml:space="preserve"> - จัดทำโครงการ งบประมาณ และกำหนดการ 
 - ดำเนินการลงชุมชน เก็บข้อมูล
 - จัดทำระบบฐานข้อมูลและติดตามข้อมูล
 - ประสานงานเครือข่าย</t>
  </si>
  <si>
    <t xml:space="preserve">KPI 3-1(1) จำนวนภาคีเครือข่ายเพื่อพัฒนาสร้างเสริมสุขภาพชุมชนอย่างเป็นระบบ (หน่วย: องค์กร/ปี) </t>
  </si>
  <si>
    <t>S3-3
KR 3D</t>
  </si>
  <si>
    <t>2. โครงการหรือกิจกรรมด้านสุขภาพที่ดำเนินการโดยชุมชนหรือภาคีเครือข่าย</t>
  </si>
  <si>
    <t xml:space="preserve"> - จัดทำโครงการ งบประมาณ และกำหนดการ</t>
  </si>
  <si>
    <t>KPI 3-1(2) จำนวนโครงการหรือกิจกรรมด้านสุขภาพที่ดำเนินการโดยชุมชนหรือภาคีเครือข่าย (หน่วย: โครงการ/ปี) (นับโครงการใหม่)</t>
  </si>
  <si>
    <r>
      <rPr>
        <b/>
        <sz val="14"/>
        <color rgb="FF000000"/>
        <rFont val="Chulabhorn Likit Text Light"/>
        <charset val="134"/>
      </rPr>
      <t xml:space="preserve">SP 3(2): Develop innovative solutions to solve health problems in the community
</t>
    </r>
    <r>
      <rPr>
        <b/>
        <sz val="14"/>
        <color rgb="FFFF0000"/>
        <rFont val="Chulabhorn Likit Text Light"/>
        <charset val="134"/>
      </rPr>
      <t>SP 3(2): Use medical knowledge and technologies to promote better health of people in communities</t>
    </r>
  </si>
  <si>
    <r>
      <rPr>
        <b/>
        <sz val="14"/>
        <color rgb="FF000000"/>
        <rFont val="Chulabhorn Likit Text Light"/>
        <charset val="134"/>
      </rPr>
      <t xml:space="preserve">SM 3-2 สร้างนวัตกรรมเพื่อแก้ไขปัญหาสุขภาพสำคัญของชุมชน
</t>
    </r>
    <r>
      <rPr>
        <b/>
        <sz val="14"/>
        <color rgb="FFFF0000"/>
        <rFont val="Chulabhorn Likit Text Light"/>
        <charset val="134"/>
      </rPr>
      <t> SM 3-2 ใช้ความรู้และเทคโนโลยีทางการแพทย์เพื่อส่งเสริมสุขภาพของคนในชุมชนให้ดีขึ้น</t>
    </r>
  </si>
  <si>
    <t>1. โครงการพัฒนาองค์ความรู้เพื่อสร้างผลิตภัณฑ์หรือนวัตกรรมส่งเสริมสุขภาพของชุมชน</t>
  </si>
  <si>
    <t xml:space="preserve"> - จัดทำโครงการ งบประมาณ และกำหนดการ
 - รับสมัครผู้เข้าร่วมโครงการ และดำเนินการโครงการ
 - ดำเนินการลงชุมชน
 - จัดทำระบบฐานข้อมูลและติดตามข้อมูล</t>
  </si>
  <si>
    <t>KPI 3-2(2) มีผลิตภัณฑ์ชุมชนเพื่อการส่งเสริมสุขภาพ (หน่วย: ผลิตภัณฑ์/ชุมชน/ปี) (สะสม)</t>
  </si>
  <si>
    <t>KR-OC 3-1</t>
  </si>
  <si>
    <r>
      <rPr>
        <b/>
        <sz val="14"/>
        <color rgb="FF000000"/>
        <rFont val="Chulabhorn Likit Text Light"/>
        <charset val="134"/>
      </rPr>
      <t xml:space="preserve">SP 3(3): Promote development of social enterprise for better health and better community
</t>
    </r>
    <r>
      <rPr>
        <b/>
        <sz val="14"/>
        <color rgb="FFFF0000"/>
        <rFont val="Chulabhorn Likit Text Light"/>
        <charset val="134"/>
      </rPr>
      <t>SP 3(3): Develop communities for quality health education and research</t>
    </r>
  </si>
  <si>
    <r>
      <rPr>
        <b/>
        <sz val="14"/>
        <color rgb="FF000000"/>
        <rFont val="Chulabhorn Likit Text Light"/>
        <charset val="134"/>
      </rPr>
      <t xml:space="preserve">SM 3-3 ส่งเสริมการพัฒนาวิสาหกิจเพื่อสังคมด้านสุขภาพ
</t>
    </r>
    <r>
      <rPr>
        <b/>
        <sz val="14"/>
        <color rgb="FFFF0000"/>
        <rFont val="Chulabhorn Likit Text Light"/>
        <charset val="134"/>
      </rPr>
      <t>SM 3-3 พัฒนาชุมชนให้มีความพร้อมด้านการศึกษาและวิจัยด้านสุขภาพอย่างมีคุณภาพ</t>
    </r>
  </si>
  <si>
    <t>1. โครงการอาสาจุฬาภรณ์ (ขยายผล)
   - ชุมชนต้านมะเร็ง
   - ทุนวิจัยชุมชนต้นแบบเพื่อสุขภาพอย่างยั่งยืน (ววน.)
   - วิจัยชุมชนเชิงสังคม</t>
  </si>
  <si>
    <t>KPI 3-3(1) มีผลงานด้านการศึกษาหรือวิจัยเพื่อสร้างการเปลี่ยนแปลงด้านสุขภาพในชุมชน (หน่วย: ผลงาน/ปี)</t>
  </si>
  <si>
    <t>S3-3
KR 3D
S2-1
KR 2A</t>
  </si>
  <si>
    <t xml:space="preserve">KPI 3-3(2) ผลการดำเนินงานของชุมชนได้รับเข้าร่วมการประกวดในโครงการพัฒนาสุขภาพชุมชน (หน่วย:โครงการ) </t>
  </si>
  <si>
    <t>KPI 3-3(3) คุณภาพชีวิตในระดับชุมชน มีระดับดีขึ้นมากกว่าร้อยละ 10 ใน 5 ปี (หน่วย: ร้อยละ/ปี)</t>
  </si>
  <si>
    <t>An efficient, data-driven organization for sustainability
เป็นองค์กรที่ขับเคลื่อนด้วยข้อมูล อย่างมีประสิทธิภาพ เพื่อความยั่งยืน</t>
  </si>
  <si>
    <r>
      <rPr>
        <b/>
        <sz val="14"/>
        <color rgb="FF000000"/>
        <rFont val="Chulabhorn Likit Text Light"/>
        <charset val="134"/>
      </rPr>
      <t xml:space="preserve">SP 4(1): Integrated Management Platform
</t>
    </r>
    <r>
      <rPr>
        <b/>
        <sz val="14"/>
        <color theme="9" tint="-0.499984740745262"/>
        <rFont val="Chulabhorn Likit Text Light"/>
        <charset val="134"/>
      </rPr>
      <t>SP 4(1) Digital Medical Education Transformation</t>
    </r>
  </si>
  <si>
    <t>SM 4-1 พัฒนาระบบการเรียนรู้ดิจิทัลสนับสนุนการเรียนการสอนทุกหลักสูตร</t>
  </si>
  <si>
    <t>1. โครงการ Digital Content Development Workshop Series
วัตถุประสงค์:
  - เพื่อพัฒนาทักษะอาจารย์ในการสร้างเนื้อหาดิจิทัลที่มีคุณภาพ
 - เพื่อสร้างคลังเนื้อหาการสอนดิจิทัลของวิทยาลัย</t>
  </si>
  <si>
    <t>1. งานเทคโนโลยีการศึกษา สารสนเทศและโสตทัศนูปกรณ์
: น.ส.กชมน หมั่นหา
: น.ส.ชนม์ชนก ยิ่งไพบูลย์
: น.ส.นิภาภัทร์ วรวัฒน์</t>
  </si>
  <si>
    <t xml:space="preserve"> - จัดอบรมเชิงปฏิบัติการการผลิตสื่อดิจิทัล 
 - จัดตั้ง Digital Content Clinic ให้คำปรึกษารายบุคคล
 - สร้างระบบ Knowledge Sharing Platform สำหรับแลกเปลี่ยนสื่อการสอนระหว่างอาจารย์</t>
  </si>
  <si>
    <t>KPI 4-1(1) ร้อยละของความสำเร็จของระบบสนับสนุนด้านการศึกษาวิจัย : Educational Information System (ใหม่)  (หน่วย: ร้อยละ/ ปี)</t>
  </si>
  <si>
    <t xml:space="preserve"> S4-2 (16.1.1)
KR 4D</t>
  </si>
  <si>
    <t>KPI 4-1(2) ร้อยละการผลิตสื่อการสอนดิจิทัลต่อรายวิชาทั้งหมด (หน่วย: ร้อยละ/ปี)</t>
  </si>
  <si>
    <t xml:space="preserve"> S4-2 (16.1.2)
KR 4D</t>
  </si>
  <si>
    <t>2. โครงการ Microlearning Platform Development
วัตถุประสงค์:
 - พัฒนาระบบการเรียนรู้แบบ bite-sized ที่นักศึกษาสามารถเรียนได้ทุกที่ทุกเวลา</t>
  </si>
  <si>
    <t xml:space="preserve"> - พัฒนาระบบสารสนเทศสำหรับ microlearning
สร้างระบบ content management สำหรับอาจารย์
 - พัฒนาระบบติดตามความก้าวหน้าของผู้เรียน</t>
  </si>
  <si>
    <r>
      <rPr>
        <sz val="14"/>
        <color rgb="FFFF0000"/>
        <rFont val="Chulabhorn Likit Text Light"/>
        <charset val="134"/>
      </rPr>
      <t xml:space="preserve">KPI 4-1(3) </t>
    </r>
    <r>
      <rPr>
        <sz val="14"/>
        <rFont val="Chulabhorn Likit Text Light"/>
        <charset val="134"/>
      </rPr>
      <t>จำนวนวิชาที่มีการประยุกต์ใช้ Microlearning platform ในการเรียนการสอน (หน่วย: รายวิชา/ปี)</t>
    </r>
  </si>
  <si>
    <r>
      <rPr>
        <b/>
        <sz val="14"/>
        <color theme="9" tint="-0.499984740745262"/>
        <rFont val="Chulabhorn Likit Text Light"/>
        <charset val="134"/>
      </rPr>
      <t>SM 4-2 พัฒนาโครงสร้างพื้นฐาน Smart Classroom สนับสนุนการเรียนการสอนในรูปแบบที่หลากหลาย</t>
    </r>
    <r>
      <rPr>
        <b/>
        <sz val="14"/>
        <color rgb="FF000000"/>
        <rFont val="Chulabhorn Likit Text Light"/>
        <charset val="134"/>
      </rPr>
      <t xml:space="preserve"> 
</t>
    </r>
  </si>
  <si>
    <t>1. Smart Classroom Optimization
วัตถุประสงค์: 
ปรับปรุงห้องเรียนที่มีอยู่ให้รองรับการเรียนการสอนแบบ hybrid
พัฒนาทักษะการใช้เทคโนโลยีในห้องเรียนของอาจารย์</t>
  </si>
  <si>
    <t xml:space="preserve"> - ปรับปรุงระบบเสียงและภาพในห้องเรียน
 - ติดตั้งระบบบันทึกการสอนอัตโนมัติ
 - อบรมการใช้งานอุปกรณ์ในห้องเรียนอัจฉริยะ</t>
  </si>
  <si>
    <t xml:space="preserve">KPI 4-2(1) ระดับความพึงพอใจผู้ใช้งานต่อ Smart Classroom ทั้งอาจารย์และนักศึกษา (คะแนนเต็ม 5) </t>
  </si>
  <si>
    <t>S4-1 (15.3)
KR 4D</t>
  </si>
  <si>
    <r>
      <rPr>
        <b/>
        <sz val="14"/>
        <color rgb="FFFF0000"/>
        <rFont val="Chulabhorn Likit Text Light"/>
        <charset val="134"/>
      </rPr>
      <t xml:space="preserve">SM 4-3 พัฒนาและเพิ่มประสิทธิภาพระบบงานและกระบวนการทำงานหลักโดยใช้ดิจิทัล เพื่อตอบสนองการให้บริการที่เป็นเลิศ
</t>
    </r>
    <r>
      <rPr>
        <b/>
        <sz val="14"/>
        <color theme="9" tint="-0.499984740745262"/>
        <rFont val="Chulabhorn Likit Text Light"/>
        <charset val="134"/>
      </rPr>
      <t>SM 4-3 การใช้ข้อมูลสารสนเทศสนับสนุนการบริหารจัดการและการตัดสินใจภายในองค์กร</t>
    </r>
  </si>
  <si>
    <t>1. โครงการ Executive Information System 
วัตถุประสงค์:
 - เพื่อพัฒนาระบบสารสนเทศสำหรับผู้บริหารที่สามารถแสดงข้อมูลสำคัญแบบ Real-time
 - เพื่อสนับสนุนการตัดสินใจเชิงนโยบายด้วยข้อมูลเชิงประจักษ์</t>
  </si>
  <si>
    <t xml:space="preserve"> - พัฒนาโครงสร้างระบบข้อมูล
 - พัฒนา Dashboard สำหรับผู้บริหาร
 - การพัฒนาระบบวิเคราะห์ข้อมูล
 - การพัฒนาศักยภาพผู้ใช้งาน</t>
  </si>
  <si>
    <r>
      <rPr>
        <sz val="14"/>
        <rFont val="Chulabhorn Likit Text Light"/>
        <charset val="134"/>
      </rPr>
      <t xml:space="preserve">KPI 4-3(1) ร้อยละของความสำเร็จของระบบสนับสนุนด้านการบริหาร: Executive Information System (EIS) (หน่วย: ร้อยละ/ ปี)
</t>
    </r>
    <r>
      <rPr>
        <sz val="14"/>
        <color rgb="FFFF0000"/>
        <rFont val="Chulabhorn Likit Text Light"/>
        <charset val="134"/>
      </rPr>
      <t>หรือกำหนดเกณฑ์แต่ละระดับ ดังนี้
 ระดับที่ 1 = KPI: PSCM Dashboard ครบทุกฟังก์ชันงาน
 ระดับที่ 2 = KPI: Data Entry Platform (Integration with ROPa (PDPA))
 ระดับที่ 3 = KPI:  Real-time strategic KPIs &gt;80% + Real-time process KPIs &gt;60%
 ระดับที่ 4 = KPI:  Real-time strategic KPIs &gt;95% + Real-time process KPIs &gt;90%
 ระดับที่ 5 = KPI: Cloud-based Data entry platform = 1 system</t>
    </r>
  </si>
  <si>
    <t>S4-2 (16.3.1)
KR 4G</t>
  </si>
  <si>
    <t>ผศ.นพ.ธีรภัทร อึ้งตระกูล</t>
  </si>
  <si>
    <t>2. หัวหน้างานทุกงานร่วมดำเนินการ</t>
  </si>
  <si>
    <t xml:space="preserve"> - จัดทำโครงการ งบประมาณ และดำเนินการรวบรวมข้อมูลตาม Platform เพื่อพัฒนากระบวนการทำงานของวพศส.
 - จัดทำ Dashboard PSCM</t>
  </si>
  <si>
    <t>KPI 4-3(2) ร้อยละของระบบ EIS ครอบคลุมงานหลักภายใน วพศส. (หน่วย: ร้อยละ/ ปี)</t>
  </si>
  <si>
    <t xml:space="preserve"> - จัดทำโครงการ งบประมาณ และดำเนินการรณรงค์ตามนโยบายรจภ.</t>
  </si>
  <si>
    <t>KPI 4-3(3) จำนวนระบบงานสอดคล้อง ESG, Green university และ Net Zero Emission ที่ผ่านเกณฑ์มาตรฐาน (หน่วย: ระบบ/ ปี)</t>
  </si>
  <si>
    <t>S5-5
KR 5G</t>
  </si>
  <si>
    <r>
      <rPr>
        <b/>
        <sz val="14"/>
        <color rgb="FF000000"/>
        <rFont val="Chulabhorn Likit Text Light"/>
        <charset val="134"/>
      </rPr>
      <t xml:space="preserve">SP 4(2): Human Excellence
</t>
    </r>
    <r>
      <rPr>
        <b/>
        <sz val="14"/>
        <color theme="9" tint="-0.499984740745262"/>
        <rFont val="Chulabhorn Likit Text Light"/>
        <charset val="134"/>
      </rPr>
      <t xml:space="preserve">SP 4(2) GenAI for Education </t>
    </r>
  </si>
  <si>
    <r>
      <rPr>
        <b/>
        <sz val="14"/>
        <color rgb="FF000000"/>
        <rFont val="Chulabhorn Likit Text Light"/>
        <charset val="134"/>
      </rPr>
      <t xml:space="preserve">SM 4-4 KM Credit &amp; Best Practices มุ่งสู่การเป็นองค์กรแห่งการเรียนรู้ (Learning Organization)
</t>
    </r>
    <r>
      <rPr>
        <b/>
        <sz val="14"/>
        <color rgb="FFFF0000"/>
        <rFont val="Chulabhorn Likit Text Light"/>
        <charset val="134"/>
      </rPr>
      <t xml:space="preserve">SM 4-4 พัฒนาศักยภาพของบุคลากรสู่ความเป็นเลิศ โดยสร้าง Digital Culture &amp; Mindset </t>
    </r>
  </si>
  <si>
    <t>1. โครงการ KM Credit &amp; Best Practices</t>
  </si>
  <si>
    <t>ผศ.นสพ.ดร.พีรุทย์ เชียรวิชัย</t>
  </si>
  <si>
    <t>1. งานบริหารทรัพยากรมนุษย์ฯ
: น.ส.พัชรี ยะคะเสม
: น.ส.สุวาที อภิบาลภูวนารถ
: น.ส.ธัญญรัตน์ จีนมหันต์</t>
  </si>
  <si>
    <t>KPI 4-4(1)  ร้อยละความสำเร็จของการพัฒนาระบบ KM Credit &amp; Best Practices (หน่วย: ร้อยละ/ปี)</t>
  </si>
  <si>
    <t>KR 4F</t>
  </si>
  <si>
    <t>2. โครงการพัฒนาระบบการจัดการความรู้ของบุคลากรรายบุคคล</t>
  </si>
  <si>
    <t xml:space="preserve"> - จัดทำฐานข้อมูล KM Credit/ Best Practices/ R2R</t>
  </si>
  <si>
    <t>KPI 4-4(2) ร้อยละของจำนวนบุคลากรที่มีส่วนร่วมของ R2R  (หน่วย: ร้อยละ/ปี)</t>
  </si>
  <si>
    <t>S2-5
KR 2E, KR 5K</t>
  </si>
  <si>
    <t>4. โครงการพัฒนาศักยภาพบุคลากรด้านดิจิทัล (Digital Literacy)</t>
  </si>
  <si>
    <r>
      <rPr>
        <sz val="14"/>
        <rFont val="Chulabhorn Likit Text Light"/>
        <charset val="134"/>
      </rPr>
      <t xml:space="preserve"> - พัฒนาแพลตฟอร์มส่งเสริมการเรียนรู้ให้กับบุคลากรเกี่ยวกับ Digital Literacy ประสานงานและติดตามข้อมูล โดยมีการพัฒนาบุคลากรด้านดิจิทัลอย่างต่อเนื่องทุกปี อย่างน้อย  </t>
    </r>
    <r>
      <rPr>
        <sz val="14"/>
        <rFont val="Calibri"/>
        <charset val="134"/>
      </rPr>
      <t>≥</t>
    </r>
    <r>
      <rPr>
        <sz val="14"/>
        <rFont val="Chulabhorn Likit Text Light"/>
        <charset val="134"/>
      </rPr>
      <t>5 คอร์สฝึกอบรม/ปี</t>
    </r>
  </si>
  <si>
    <t>KPI 4-4(3) ร้อยละของบุคลากรที่เข้ารับการประเมิน Digital Literacy โดยรจภ. และมีระดับ 80 คะแนนขึ้นไป (หน่วย: ร้อยละ/ปี)</t>
  </si>
  <si>
    <t>KR 4E</t>
  </si>
  <si>
    <t>5. โครงการพัฒนานวัตกรรมกระบวนการดำเนินงานภายในด้วยการประยุกต์ใช้เทคโนโลยี (Innovation Operational Process with Digital)</t>
  </si>
  <si>
    <t>สนับสนุนการพัฒนานวัตกรรมกระบวนการดำเนินงานภายในด้วยการประยุกต์ใช้เทคโนโลยี</t>
  </si>
  <si>
    <t>KPI 4-4(4) การบรรลุเกณฑ์คุณภาพการศึกษาเพื่อการดำเนินการที่เป็นเลิศ (EdPEx) (คะแนนรวม)</t>
  </si>
  <si>
    <t>S5-1
KR 5A</t>
  </si>
  <si>
    <t>SM 4-5  พัฒนา GenAI สนับสนุนการสร้าง AI Tutor และสนับสนุนการออกแบบ ประเมินผล รายวิชาสำหรับอาจารย์</t>
  </si>
  <si>
    <t>1. โครงการ AI Tutor Development
วัตถุประสงค์:
 - พัฒนาทีมอาจารย์ผู้เชี่ยวชาญด้าน AI Tutor
 - สร้างต้นแบบ AI Tutor สำหรับรายวิชาพื้นฐาน</t>
  </si>
  <si>
    <t xml:space="preserve"> - อบรมเชิงปฏิบัติการการใช้ GenAI 
 - เพื่อการศึกษาพัฒนา prompt templates สำหรับการสอน
 - สร้างคลังความรู้และแนวทางการใช้ AI Tutor</t>
  </si>
  <si>
    <t xml:space="preserve">KPI 4-5(1) จำนวนรายวิชาที่มีการสร้าง AI Tutor สำหรับนักศึกษาที่มีการใช้งาน </t>
  </si>
  <si>
    <t>S4-2. (16.3.2)
KR 4B</t>
  </si>
  <si>
    <t>2. โครงการ GenAI for Course Design
วัตถุประสงค์:
พัฒนาระบบสนับสนุนการออกแบบรายวิชาด้วย GenAI
สร้างเครื่องมือช่วยประเมินผลการเรียนรู้</t>
  </si>
  <si>
    <t xml:space="preserve"> - พัฒนาแนวทางการใช้ GenAI ในการออกแบบรายวิชา
 - สร้างระบบช่วยวิเคราะห์ผลการเรียนรู้
 - จัดทำคู่มือการใช้ GenAI ในการประเมินผล</t>
  </si>
  <si>
    <t xml:space="preserve">KPI 4-5(2) จำนวนรายวิชาต้นแบบที่มีการใช้ GenAI ในการสร้าง มคอ. 3–5 </t>
  </si>
  <si>
    <t xml:space="preserve"> - วางนโยบายความก้าวหน้าทางสายงาน
 - ผลักดันแผนความก้าวหน้าทางสายงาน
</t>
  </si>
  <si>
    <t xml:space="preserve"> - ดำเนินการตามนโยบายของรจภ.
 - จัดทำแผนพัฒนาบุคลากรสายวิชาการและสายสนับสนุน</t>
  </si>
  <si>
    <t>KPI 4-6(1) ร้อยละของระดับความผูกพันของบุคลากรในองค์กร (Employee Engagement) (หน่วย: ร้อยละ/ปี) (หน่วย: ร้อยละ/ปี)</t>
  </si>
  <si>
    <t>S5-3
KR 5H</t>
  </si>
  <si>
    <t xml:space="preserve"> - จัดทำระบบติดตามการขอตำแหน่งทางวิชาการ และระบบพัฒนาบุคลากรสายสนับสนุน/ แผน IDP
 - จัดทำระบบการประเมินผลปฏิบัติงานตามผลลัพธ์ของงาน</t>
  </si>
  <si>
    <t xml:space="preserve">KPI 4-6(2) ร้อยละของบุคลากรระดับบังคับบัญชาที่ได้รับการพัฒนาศักยภาพด้านการบริหารจัดการที่รองรับการปรับโครงสร้างองค์กร (หน่วย: ร้อยละ/ปี) </t>
  </si>
  <si>
    <t>S5-6
KR 5J</t>
  </si>
  <si>
    <r>
      <rPr>
        <b/>
        <sz val="14"/>
        <color rgb="FF000000"/>
        <rFont val="Chulabhorn Likit Text Light"/>
        <charset val="134"/>
      </rPr>
      <t xml:space="preserve">SM 4-7 สร้างช่องทางจัดหารายได้วิทยาลัยฯ ที่หลากหลาย เพื่อสร้างความเสถียรภาพทางการเงินในระยะยาว
</t>
    </r>
    <r>
      <rPr>
        <b/>
        <sz val="14"/>
        <color rgb="FFFF0000"/>
        <rFont val="Chulabhorn Likit Text Light"/>
        <charset val="134"/>
      </rPr>
      <t>SM4-7 สร้างความมั่นคงทางการเงินในระยะยาว</t>
    </r>
  </si>
  <si>
    <t>1. โครงการจัดฝึกอบรมแบบ Online &amp; Onsite โดยการจัดฝึกอบรมระยะสั้น online / offline / hybrid (Reskill &amp; Upskill) โดยมุ่งเน้นอาศัยจุดแข็งของวิทยาลัยฯ ด้านสหสาขาวิชาและสหสถาบันทั้งในและต่างประเทศ
 - การจัดหลักสูตรทางด้านวิชาการ สำหรับนักเรียนและประชาชนทั่วไป</t>
  </si>
  <si>
    <t>ผศ.นพ.ณัฐวุฒิ กันตถาวร (คณะกรรมการบริการวิชาการและสังคม)</t>
  </si>
  <si>
    <t>KPI 4-7(1) จำนวนโครงการวิจัย/บริการวิชาการ/*หลักสูตรระยะสั้น ที่เพิ่มขึ้นในแต่ละปี (หน่วย: โครงการ/ปี)</t>
  </si>
  <si>
    <t>S5-4
KR 5L</t>
  </si>
  <si>
    <t>1. งานบริหารแผนยุทธศาสตร์ งบประมาณ การเงินฯ
: น.ส.ปัญญวัน ลิมปนัดดา</t>
  </si>
  <si>
    <t xml:space="preserve"> - ติดตามผลการเบิกจ่ายรายเดือน</t>
  </si>
  <si>
    <t xml:space="preserve">KPI 4-7(2) ประสิทธิภาพการใช้จ่ายงบประมาณภาพรวม (หน่วย: ร้อยละ/ปี) </t>
  </si>
  <si>
    <t>S5-7
KR 5M</t>
  </si>
  <si>
    <t>2. โครงการพัฒนาศักยภาพด้านการเงิน</t>
  </si>
  <si>
    <t xml:space="preserve"> - จัดทำแผนปฏิบัติการทางด้านการเงินที่มีประสิทธิภาพ และมีตัวชี้วัดที่เหมาะสม
จัดตั้งกองทุนวิทยาลัยแพทยศาสตร์ศรีสวางควัฒน เพื่อสนับสนุนการดำเนินโครงการวิจัย เนื่องจากในบางโครงการจำเป็นจะต้องมีค่าใช้จ่ายในการดำเนินโครงการวิจัยก่อนถึงจะได้รับเงินค่าตอบแทนในการวิจัยในงวดแรก (ผลงานแลกเงิน)</t>
  </si>
  <si>
    <t>KPI 4-7(3) สัดส่วนรายได้ที่เพิ่มขึ้นจากทุกช่องทางอย่างน้อยร้อยละ 10 ต่อปี (หน่วย: ร้อยละ/ปี) (เน้นการจัดอบรมหรือระยะสั้น)</t>
  </si>
  <si>
    <t>2. งานบริหารแผนยุทธศาสตร์ งบประมาณ การเงินฯ
: น.ส.อมรรัตน์ สุขสนอง
: น.ส.พันธุ์ทิพย์ เพาะบุญ</t>
  </si>
  <si>
    <t xml:space="preserve"> - จัดทำ Resources Inventory เพื่อใช้ในการบริหารจัดการสินทรัพย์และนำสินทรัพย์ในการใช้หารายได้ 
ผลักดันการต่อยอดนวัตกรรม สู่การเป็นผลิตภัณฑ์เชิงพาณิชย์</t>
  </si>
  <si>
    <t>3. งานบริหารวิจัย นวัตกรรมและทรัพย์สินทางปัญญา
: นายกิตติธัชพงษ์ วิชาช่าง
: น.ส.มนชนก มากพุ่ม
: น.ส.ศิริพร ภูมิชุมแพ
: น.ส.หฤทัย บงแก้ว</t>
  </si>
  <si>
    <r>
      <rPr>
        <b/>
        <sz val="14"/>
        <color rgb="FF000000"/>
        <rFont val="Chulabhorn Likit Text Light"/>
        <charset val="134"/>
      </rPr>
      <t xml:space="preserve">SP 5(1): Promote Internationalization
</t>
    </r>
    <r>
      <rPr>
        <b/>
        <sz val="14"/>
        <color theme="9" tint="-0.499984740745262"/>
        <rFont val="Chulabhorn Likit Text Light"/>
        <charset val="134"/>
      </rPr>
      <t>SP 5(1): การเชื่อมต่อโลกเพื่อความร่วมมือในระดับสากลในด้านการศึกษา</t>
    </r>
  </si>
  <si>
    <r>
      <rPr>
        <b/>
        <sz val="14"/>
        <color rgb="FF000000"/>
        <rFont val="Chulabhorn Likit Text Light"/>
        <charset val="134"/>
      </rPr>
      <t xml:space="preserve">SM 5-1 การแลกเปลี่ยนนักศึกษาร่วมกับมหาวิทยาลัยพันธมิตรที่มีชื่อเสียงระดับโลก
</t>
    </r>
    <r>
      <rPr>
        <b/>
        <sz val="14"/>
        <color rgb="FFFF0000"/>
        <rFont val="Chulabhorn Likit Text Light"/>
        <charset val="134"/>
      </rPr>
      <t>SM 5-1 การมีส่วนร่วมและแลกเปลี่ยนของนักศึกษาในกิจกรรมระด้บนานาชาติ</t>
    </r>
    <r>
      <rPr>
        <b/>
        <sz val="14"/>
        <color rgb="FF000000"/>
        <rFont val="Chulabhorn Likit Text Light"/>
        <charset val="134"/>
      </rPr>
      <t xml:space="preserve">
</t>
    </r>
    <r>
      <rPr>
        <b/>
        <sz val="14"/>
        <color theme="9" tint="-0.499984740745262"/>
        <rFont val="Chulabhorn Likit Text Light"/>
        <charset val="134"/>
      </rPr>
      <t>SM 5-1 การแลกเปลี่ยนนักศึกษา</t>
    </r>
  </si>
  <si>
    <r>
      <rPr>
        <b/>
        <sz val="14"/>
        <color rgb="FF002060"/>
        <rFont val="Chulabhorn Likit Text Light"/>
        <charset val="134"/>
      </rPr>
      <t>1. โครงการแลกเปลี่ยนนักศึกษาร่วมกับมหาวิทยาลัยพันธมิตรที่มีชื่อเสียงระดับโลก</t>
    </r>
    <r>
      <rPr>
        <sz val="14"/>
        <rFont val="Chulabhorn Likit Text Light"/>
        <charset val="134"/>
      </rPr>
      <t xml:space="preserve">
</t>
    </r>
  </si>
  <si>
    <t>ผศ.ดร.ดนุพล นันทจิต</t>
  </si>
  <si>
    <t xml:space="preserve"> - จัดทำโครงการแลกเปลี่ยนนักศึกษา งบประมาณ กำหนดการ และประสานงานมหาวิทยาลัยพันธมิตร และนักศึกษาต่างชาติ</t>
  </si>
  <si>
    <t>KPI 5-1(1) จำนวนโครงการที่มีนักศึกษาวพศส.หรือนักศึกษาต่างชาติเข้าร่วมกิจกรรมระดับนานาชาติ  (หน่วย: โครงการ/ปี)</t>
  </si>
  <si>
    <t>KPI 5-1(2) จำนวนนักศึกษาที่เข้าร่วมศึกษาแลกเปลี่ยนต่างๆ   (หน่วย: คน/ปี)</t>
  </si>
  <si>
    <t>KPI 5-1(3) จำนวนนักศึกษาที่เข้าร่วมศึกษาแลกเปลี่ยนในโครงการที่อยู่ในหลักสูตรระดับสากล  (หน่วย: คน/ปี)</t>
  </si>
  <si>
    <t>≥25</t>
  </si>
  <si>
    <t>KPI 5-1(4) จำนวนนักศึกษาต่างชาติที่เข้าร่วมกิจกรรมแลกเปลี่ยน (Inbound) (หน่วย: คน/ปี)</t>
  </si>
  <si>
    <t>KPI 5-1(5) จำนวนนักศึกษาต่างชาติที่มาศึกษาในหลักสูตรของวพศส. (หน่วย: คน/ปี)</t>
  </si>
  <si>
    <r>
      <rPr>
        <b/>
        <sz val="14"/>
        <color rgb="FF000000"/>
        <rFont val="Chulabhorn Likit Text Light"/>
        <charset val="134"/>
      </rPr>
      <t xml:space="preserve">SM 5-2 การแลกเปลี่ยนอาจารย์ร่วมกับมหาวิทยาลัยพันธมิตรที่มีชื่อเสียงระดับโลก
</t>
    </r>
    <r>
      <rPr>
        <b/>
        <sz val="14"/>
        <color rgb="FFFF0000"/>
        <rFont val="Chulabhorn Likit Text Light"/>
        <charset val="134"/>
      </rPr>
      <t>SM 5-2 การมีส่วนร่วมของอาจารย์และเจ้าบุคลากรสายสนับสนุนในกิจกรรมระด้บนานาชาติ</t>
    </r>
    <r>
      <rPr>
        <b/>
        <sz val="14"/>
        <color rgb="FF000000"/>
        <rFont val="Chulabhorn Likit Text Light"/>
        <charset val="134"/>
      </rPr>
      <t xml:space="preserve">
</t>
    </r>
    <r>
      <rPr>
        <b/>
        <sz val="14"/>
        <color theme="9" tint="-0.499984740745262"/>
        <rFont val="Chulabhorn Likit Text Light"/>
        <charset val="134"/>
      </rPr>
      <t>SM 5-2 การพัฒนาส่งเสริมความรู้ในระดับสากล</t>
    </r>
  </si>
  <si>
    <t>1. โครงการทุนสนับสนุนการทำ Post Doctoral ของอาจารย์ในมหาวิทยาลัยหรือองค์กรที่มีชื่อเสียงระดับโลก</t>
  </si>
  <si>
    <t>1. งานบริหารทรัพยากรมนุษย์ฯ
: น.ส.พัชรี ยะคะเสม
: น.ส.พรธิดา วุชรัตน์</t>
  </si>
  <si>
    <t xml:space="preserve"> - จัดทำแผนงานและฐานข้อมูลระบบการอบรม ลาศึกษาต่อ
 - พัฒนาระบบการดูแลอาจารย์แลกเปลี่ยน</t>
  </si>
  <si>
    <t>KPI 5-2(1) จำนวนอาจารย์ ที่ไปทำงานวิจัย Postdoc ณ มหาวิทยาลัยที่มีชื่อเสียงระดับโลก (หน่วย: คน/ปี)</t>
  </si>
  <si>
    <t>2. โครงการวิจัยร่วมกับมหาวิทยาลัยหรือองค์กรที่มีชื่อเสียงระดับโลก</t>
  </si>
  <si>
    <t>2. โครงการทุนสนับสนุนการศึกษาของบุคลากรในการเข้าร่วมกิจกรรมระดับนานาชาติ</t>
  </si>
  <si>
    <t>KPI 5-2(2) จำนวนอาจารย์หรือวิทยากรต่างชาติ (Special Lecture, Guest Speaker) ที่ได้รับเชิญในหลักสูตรและกิจกรรมด้านการศึกษาของวพศส. (หน่วย: คน/ปี)</t>
  </si>
  <si>
    <t>3. โครงการแลกเปลี่ยนเรียนรู้ด้านวิชาการของบุคลากรในระดับนานาชาติ
 - Special Lecture
 - ACP อาจปรับงบไปเครือข่ายที่เพิ่มขึ้น
 - UCL
 - Visit Tokyo TECH
 - สนับสนุนทุนนำเสนอ/เผยแพร่งานวิจัยของนศ.ในตปท.</t>
  </si>
  <si>
    <t>KPI 5-2(3) จำนวนผลงานวิจัย/วิชาการ ที่ได้รับการนำเสนอในการประชุมวิชาการระดับนานาชาติ (หน่วย: ผลงาน/ปี)</t>
  </si>
  <si>
    <r>
      <rPr>
        <b/>
        <sz val="14"/>
        <color rgb="FF000000"/>
        <rFont val="Chulabhorn Likit Text Light"/>
        <charset val="134"/>
      </rPr>
      <t xml:space="preserve">SP 5(2): Create international partnership with world class institutes
</t>
    </r>
    <r>
      <rPr>
        <b/>
        <sz val="14"/>
        <color theme="9" tint="-0.499984740745262"/>
        <rFont val="Chulabhorn Likit Text Light"/>
        <charset val="134"/>
      </rPr>
      <t>SP 5(2): การเชื่อมต่อโลกเพื่อความร่วมมือในระดับสากลในด้านการวิจัยและนวัตกรรม</t>
    </r>
  </si>
  <si>
    <r>
      <rPr>
        <b/>
        <sz val="14"/>
        <color rgb="FFFF0000"/>
        <rFont val="Chulabhorn Likit Text Light"/>
        <charset val="134"/>
      </rPr>
      <t>SM 5-3</t>
    </r>
    <r>
      <rPr>
        <b/>
        <sz val="14"/>
        <color rgb="FF000000"/>
        <rFont val="Chulabhorn Likit Text Light"/>
        <charset val="134"/>
      </rPr>
      <t xml:space="preserve"> สรรหาและสร้างเครือข่ายพันธมิตร และจัดกิจกรรมร่วมกับเครือข่ายพันธมิตรระดับชาติและนานาชาติ
</t>
    </r>
    <r>
      <rPr>
        <b/>
        <sz val="14"/>
        <color theme="9" tint="-0.499984740745262"/>
        <rFont val="Chulabhorn Likit Text Light"/>
        <charset val="134"/>
      </rPr>
      <t>SM 5-3 การพัฒนาบุคลากรให้มีมาตรฐานในระดับสากล</t>
    </r>
  </si>
  <si>
    <t>1. สรรหาและสร้างเครือข่ายพันธมิตร และจัดกิจกรรม ร่วมกับเครือข่ายพันธมิตรระดับชาติและนานาชาติ</t>
  </si>
  <si>
    <t xml:space="preserve"> - จัดทำโครงการ งบประมาณ 
 - ประสานงาน จัดทำระบบฐานข้อมูลและติดตามข้อมูล</t>
  </si>
  <si>
    <t>KPI 5-3(1) จำนวนเครือข่ายในต่างประเทศที่มีการลงนามบันทึกข้อตกลงความร่วมมือ (MOU/MOA) เพิ่มเติม (หน่วย: แห่ง/ปี)</t>
  </si>
  <si>
    <t>2. โครงการพัฒนาบุคลากรร่วมกับเครือข่ายมหาวิทยาลัยในต่างประเทศ</t>
  </si>
  <si>
    <t>KPI 5-3(2) ร้อยละของจำนวนเครือข่ายที่มีกิจกรรมในระดับชาติและนานาชาติ (หน่วย: ร้อยละ/ปี)</t>
  </si>
  <si>
    <t xml:space="preserve">1. งานบริหารทรัพยากรมนุษย์ฯ
: น.ส.พัชรี ยะคะเสม
</t>
  </si>
  <si>
    <t>KPI 5-3(3) จำนวนอาจารย์ ที่ไปทำงานวิจัย Postdoc ณ มหาวิทยาลัยที่มีชื่อเสียงระดับโลก (หน่วย: คน/ปี)</t>
  </si>
  <si>
    <t xml:space="preserve">KR-OP 5-3 </t>
  </si>
  <si>
    <t>2. โครงการทุนสนับสนุนการนำเสนอผลงานทางวิชาการของบุคลากรในระดับสากล</t>
  </si>
  <si>
    <t>KPI 5-3(4) จำนวนผลงานวิจัย/วิชาการ ที่ได้นำเสนอในเวทีระดับสากล (หน่วย: ผลงาน/ปี)</t>
  </si>
  <si>
    <t>3. โครงการพัฒนาความร่วมมือด้านการวิจัยในระดับสากล</t>
  </si>
  <si>
    <t>KPI 5-3(5) จำนวนผลงานวิจัย/นวัตกรรมที่มีผู้ร่วมวิจัยในระดับสากล (หน่วย: ผลงาน/ปี)</t>
  </si>
  <si>
    <t>1. การจัดงานประชุมวิชาการระดับสากล</t>
  </si>
  <si>
    <t>KPI 5-4(1) จำนวนงานประชุมวิชาการนานาชาติ (หน่วย: ครั้ง/ปี)</t>
  </si>
  <si>
    <t>≥1</t>
  </si>
  <si>
    <t>SP 5(3): การเชื่อมต่อโลกด้วยระบบสารสนเทศ</t>
  </si>
  <si>
    <t>1. โครงการพัฒนาสื่อประชาสัมพันธ์ในระดับสากล</t>
  </si>
  <si>
    <t>KPI 5-5(1) จำนวนสื่อที่ได้รับการแปลภาษา (หน่วย: สื่อ/ปี)</t>
  </si>
  <si>
    <t>2. การพิ่มช่องทางประชาสัมพันธ์</t>
  </si>
  <si>
    <t>KPI 5-5(2) จำนวนประเทศที่เข้าถึงข้อมูลจากทุกช่องทาง (หน่วย: ประเทศ/ปี)</t>
  </si>
  <si>
    <t>ยุทธศาสตร์ที่ 5 : เชื่อมต่อกับโลก เพื่อความร่วมมือระดับสากล (Connecting with the world for international partnership)</t>
  </si>
  <si>
    <t>เป็นวิทยาลัยแพทยศาสตร์ที่โดดเด่นและเป็นที่รู้จัก ทั้งระดับประเทศและระดับสากล และก้าวเข้าสู่การจัดอันดับโลก</t>
  </si>
  <si>
    <r>
      <rPr>
        <b/>
        <sz val="14"/>
        <color theme="1"/>
        <rFont val="Chulabhorn Likit Text Light"/>
        <charset val="134"/>
      </rPr>
      <t>KR-OC 5-1</t>
    </r>
    <r>
      <rPr>
        <sz val="14"/>
        <color theme="1"/>
        <rFont val="Chulabhorn Likit Text Light"/>
        <charset val="134"/>
      </rPr>
      <t xml:space="preserve"> เป็นวิทยาลัยแพทยศาสตร์ที่ติดอันดับ 1 ใน 10 ของประเทศ </t>
    </r>
  </si>
  <si>
    <r>
      <rPr>
        <b/>
        <sz val="14"/>
        <color theme="1"/>
        <rFont val="Chulabhorn Likit Text Light"/>
        <charset val="134"/>
      </rPr>
      <t>KR-OC 5-2</t>
    </r>
    <r>
      <rPr>
        <sz val="14"/>
        <color theme="1"/>
        <rFont val="Chulabhorn Likit Text Light"/>
        <charset val="134"/>
      </rPr>
      <t xml:space="preserve"> ก้าวเข้าสู่ World Ranking และติดอันดับ 1 ใน 500 ของโลกในระยะเวลา 6 ปี</t>
    </r>
  </si>
  <si>
    <r>
      <rPr>
        <b/>
        <sz val="14"/>
        <color rgb="FF002060"/>
        <rFont val="Chulabhorn Likit Text Light"/>
        <charset val="134"/>
      </rPr>
      <t>P 5-1(1) โครงการแลกเปลี่ยนนักศึกษาร่วมกับมหาวิทยาลัยพันธมิตรที่มีชื่อเสียงระดับโลก</t>
    </r>
    <r>
      <rPr>
        <sz val="14"/>
        <rFont val="Chulabhorn Likit Text Light"/>
        <charset val="134"/>
      </rPr>
      <t xml:space="preserve">
</t>
    </r>
  </si>
  <si>
    <t>1. งานเลขานุการคณบดี สารบรรณ การบริหารเครือข่าย วิเทศสัมพันธ์ และกิจกรรมพิเศษ
: นางนงลักษณ์ ภูมิไพบูลย์
: น.ส.พรนภา แซ่โง้ว
: น.ส.ณปริญญ์ วัฒนศิลป์
: นางสุนัทที เกษสังข์ 
: น.ส.สิรินัธธาร์ สุขปราศรัย
: น.ส.จิรสุภา บัวเพ็ง
: นายธีระ แสงพิกุลทอง</t>
  </si>
  <si>
    <r>
      <rPr>
        <b/>
        <u/>
        <sz val="14"/>
        <color rgb="FFFF0000"/>
        <rFont val="Chulabhorn Likit Text Light"/>
        <charset val="134"/>
      </rPr>
      <t>S-KPI 5-1(1)</t>
    </r>
    <r>
      <rPr>
        <sz val="14"/>
        <color rgb="FFFF0000"/>
        <rFont val="Chulabhorn Likit Text Light"/>
        <charset val="134"/>
      </rPr>
      <t xml:space="preserve"> </t>
    </r>
    <r>
      <rPr>
        <strike/>
        <sz val="14"/>
        <color rgb="FFFF0000"/>
        <rFont val="Chulabhorn Likit Text Light"/>
        <charset val="134"/>
      </rPr>
      <t>จำนวนโครงการที่มีนักศึกษาวพศส.หรือนักศึกษาต่างชาติเข้าร่วมกิจกรรมระดับนานาชาติ  (หน่วย: โครงการ/ปี)</t>
    </r>
    <r>
      <rPr>
        <sz val="14"/>
        <color rgb="FFFF0000"/>
        <rFont val="Chulabhorn Likit Text Light"/>
        <charset val="134"/>
      </rPr>
      <t xml:space="preserve">
(นับจำนวนโครงการที่นศ.เสนอผลงานนานาชาติ)
แก้
</t>
    </r>
    <r>
      <rPr>
        <sz val="14"/>
        <color rgb="FF0070C0"/>
        <rFont val="Chulabhorn Likit Text Light"/>
        <charset val="134"/>
      </rPr>
      <t>จำนวนนักศึกษาต่างชาติแลกเปลี่ยนเพิ่มขึ้น อย่างน้อยร้อยละ 3 ต่อปี กำหนดเป็นจำนวน (ฐานจาก...)</t>
    </r>
  </si>
  <si>
    <t>จำนวนโครงการที่มีนักศึกษาวพศส.หรือนักศึกษาต่างชาติเข้าร่วมกิจกรรมระดับนานาชาติ  (หน่วย: โครงการ/ปี)
(นับจำนวนโครงการที่นศ.เสนอผลงานนานาชาติ)
แก้</t>
  </si>
  <si>
    <r>
      <rPr>
        <u/>
        <sz val="14"/>
        <color theme="9" tint="-0.499984740745262"/>
        <rFont val="Chulabhorn Likit Text Light"/>
        <charset val="134"/>
      </rPr>
      <t>U-KPI 5-1(1)</t>
    </r>
    <r>
      <rPr>
        <sz val="14"/>
        <color theme="9" tint="-0.499984740745262"/>
        <rFont val="Chulabhorn Likit Text Light"/>
        <charset val="134"/>
      </rPr>
      <t xml:space="preserve"> จำนวนนักศึกษาที่เข้าร่วมศึกษาแลกเปลี่ยนต่างๆ   (หน่วย: คน/ปี) (นับ UCL/ฝึกงานตปท./วิจัย)</t>
    </r>
  </si>
  <si>
    <r>
      <rPr>
        <u/>
        <sz val="14"/>
        <color theme="9" tint="-0.499984740745262"/>
        <rFont val="Chulabhorn Likit Text Light"/>
        <charset val="134"/>
      </rPr>
      <t>U-KPI 5-1(1)</t>
    </r>
    <r>
      <rPr>
        <sz val="14"/>
        <color theme="9" tint="-0.499984740745262"/>
        <rFont val="Chulabhorn Likit Text Light"/>
        <charset val="134"/>
      </rPr>
      <t xml:space="preserve"> จำนวนนักศึกษาที่เข้าร่วมศึกษาแลกเปลี่ยนต่างๆ   (หน่วย: คน/ปี)</t>
    </r>
  </si>
  <si>
    <r>
      <rPr>
        <u/>
        <sz val="14"/>
        <color theme="9" tint="-0.499984740745262"/>
        <rFont val="Chulabhorn Likit Text Light"/>
        <charset val="134"/>
      </rPr>
      <t>U-KPI 5-1(2)</t>
    </r>
    <r>
      <rPr>
        <sz val="14"/>
        <color theme="9" tint="-0.499984740745262"/>
        <rFont val="Chulabhorn Likit Text Light"/>
        <charset val="134"/>
      </rPr>
      <t xml:space="preserve"> จำนวนนักศึกษาที่เข้าร่วมศึกษาแลกเปลี่ยนในโครงการที่อยู่ในหลักสูต</t>
    </r>
    <r>
      <rPr>
        <sz val="14"/>
        <color rgb="FFFF0000"/>
        <rFont val="Chulabhorn Likit Text Light"/>
        <charset val="134"/>
      </rPr>
      <t>ร</t>
    </r>
    <r>
      <rPr>
        <sz val="14"/>
        <color theme="9" tint="-0.499984740745262"/>
        <rFont val="Chulabhorn Likit Text Light"/>
        <charset val="134"/>
      </rPr>
      <t>ระดับสากล  (หน่วย: คน/ปี)</t>
    </r>
    <r>
      <rPr>
        <sz val="14"/>
        <color rgb="FFFF0000"/>
        <rFont val="Chulabhorn Likit Text Light"/>
        <charset val="134"/>
      </rPr>
      <t xml:space="preserve"> </t>
    </r>
  </si>
  <si>
    <r>
      <rPr>
        <strike/>
        <u/>
        <sz val="14"/>
        <color theme="9" tint="-0.499984740745262"/>
        <rFont val="Chulabhorn Likit Text Light"/>
        <charset val="134"/>
      </rPr>
      <t>U-KPI 5-1(3)</t>
    </r>
    <r>
      <rPr>
        <strike/>
        <sz val="14"/>
        <color theme="9" tint="-0.499984740745262"/>
        <rFont val="Chulabhorn Likit Text Light"/>
        <charset val="134"/>
      </rPr>
      <t xml:space="preserve"> จำนวนนักศึกษาต่างชาติที่เข้าร่วมกิจกรรมแลกเปลี่ยน (Inbound) (หน่วย: คน/ปี)</t>
    </r>
  </si>
  <si>
    <r>
      <rPr>
        <u/>
        <sz val="14"/>
        <color rgb="FFFF0000"/>
        <rFont val="Chulabhorn Likit Text Light"/>
        <charset val="134"/>
      </rPr>
      <t>U-KPI 5-1(4)</t>
    </r>
    <r>
      <rPr>
        <sz val="14"/>
        <color rgb="FFFF0000"/>
        <rFont val="Chulabhorn Likit Text Light"/>
        <charset val="134"/>
      </rPr>
      <t xml:space="preserve"> จำนวนนักศึกษาต่างชาติที่มาศึกษาในหลักสูตรของวพศส. (หน่วย: คน/ปี)</t>
    </r>
  </si>
  <si>
    <r>
      <rPr>
        <b/>
        <sz val="14"/>
        <color rgb="FF002060"/>
        <rFont val="Chulabhorn Likit Text Light"/>
        <charset val="134"/>
      </rPr>
      <t xml:space="preserve">P 5-2(1) โครงการทุนสนับสนุนการทำ Post Doctoral ของอาจารย์ในมหาวิทยาลัยหรือองค์กรที่มีชื่อเสียงระดับโลก
</t>
    </r>
    <r>
      <rPr>
        <sz val="14"/>
        <color rgb="FF002060"/>
        <rFont val="Chulabhorn Likit Text Light"/>
        <charset val="134"/>
      </rPr>
      <t xml:space="preserve"> - โครงการวิจัยร่วมกับมหาวิทยาลัยหรือองค์กรที่มีชื่อเสียงระดับโลก</t>
    </r>
  </si>
  <si>
    <r>
      <rPr>
        <b/>
        <u/>
        <sz val="14"/>
        <color rgb="FF002060"/>
        <rFont val="Chulabhorn Likit Text Light"/>
        <charset val="134"/>
      </rPr>
      <t>S-KPI 5-2(1)</t>
    </r>
    <r>
      <rPr>
        <sz val="14"/>
        <color rgb="FF002060"/>
        <rFont val="Chulabhorn Likit Text Light"/>
        <charset val="222"/>
      </rPr>
      <t xml:space="preserve"> </t>
    </r>
    <r>
      <rPr>
        <strike/>
        <sz val="14"/>
        <color rgb="FF002060"/>
        <rFont val="Chulabhorn Likit Text Light"/>
        <charset val="134"/>
      </rPr>
      <t xml:space="preserve">จำนวนอาจารย์ ที่ไปทำงานวิจัย Postdoc ณ มหาวิทยาลัยที่มีชื่อเสียงระดับโลก (หน่วย: คน/ปี) </t>
    </r>
    <r>
      <rPr>
        <sz val="14"/>
        <color rgb="FF002060"/>
        <rFont val="Chulabhorn Likit Text Light"/>
        <charset val="134"/>
      </rPr>
      <t xml:space="preserve">
จำนวนเครือข่ายและกิจกรรมความร่วมมือจากการทำงานวิจัยหลังจาก Postdoc ณ มหาวิทยาลัยที่มีชื่อเสียงระดับโลก (เครือข่าย/กิจกรรม ต่อปี)</t>
    </r>
  </si>
  <si>
    <t xml:space="preserve">U-KPI 5-2(1) จำนวนอาจารย์ ที่ไปทำงานวิจัย Postdoc ณ มหาวิทยาลัยที่มีชื่อเสียงระดับโลก (หน่วย: คน/ปี) </t>
  </si>
  <si>
    <t>P 5-2(1) โครงการทุนสนับสนุนการศึกษาของบุคลากรในการเข้าร่วมกิจกรรมระดับนานาชาติ</t>
  </si>
  <si>
    <t>1. งานทรัพยากรบุคคลและการจัดการความรู้
: น.ส.พัชรี ยะคะเสม
: น.ส.สุวาที อภิบาลภูวนารถ
: น.ส.จีรนันท์ ธนนพพิพัฒน์</t>
  </si>
  <si>
    <t>S-KPI 5-2(2) จำนวน Visiting Professor (กำหนดระยะเวลาให้ชัดเจนอย่างน้อย 1 สัปดาห์) 1 คนต่อปี</t>
  </si>
  <si>
    <r>
      <rPr>
        <u/>
        <sz val="14"/>
        <color theme="9" tint="-0.499984740745262"/>
        <rFont val="Chulabhorn Likit Text Light"/>
        <charset val="134"/>
      </rPr>
      <t>U-KPI 5-2(1)</t>
    </r>
    <r>
      <rPr>
        <sz val="14"/>
        <color theme="9" tint="-0.499984740745262"/>
        <rFont val="Chulabhorn Likit Text Light"/>
        <charset val="222"/>
      </rPr>
      <t xml:space="preserve"> จำนวนอาจารย์หรือวิทยากรต่างชาติ (Special Lecture, Guest Speaker) ที่ได้รับเชิญในหลักสูตรและกิจกรรมด้านการศึกษาของวพศส. (หน่วย: คน/ปี)</t>
    </r>
  </si>
  <si>
    <r>
      <rPr>
        <b/>
        <u/>
        <sz val="14"/>
        <color rgb="FFFF0000"/>
        <rFont val="Chulabhorn Likit Text Light"/>
        <charset val="134"/>
      </rPr>
      <t>S-KPI 5-3(1)</t>
    </r>
    <r>
      <rPr>
        <sz val="14"/>
        <color rgb="FFFF0000"/>
        <rFont val="Chulabhorn Likit Text Light"/>
        <charset val="134"/>
      </rPr>
      <t xml:space="preserve"> </t>
    </r>
    <r>
      <rPr>
        <strike/>
        <sz val="14"/>
        <color rgb="FFFF0000"/>
        <rFont val="Chulabhorn Likit Text Light"/>
        <charset val="134"/>
      </rPr>
      <t>จำนวนเครือข่ายในต่างประเทศที่มีการลงนามบันทึกข้อตกลงความร่วมมือ (MOU/MOA) เพิ่มเติม (หน่วย: แห่ง/ปี)</t>
    </r>
    <r>
      <rPr>
        <sz val="14"/>
        <color rgb="FFFF0000"/>
        <rFont val="Chulabhorn Likit Text Light"/>
        <charset val="134"/>
      </rPr>
      <t xml:space="preserve">
2. สัดส่วน Active MOU ต่อ MOU ทั้งหมด (หน่วย: ร้อยละ/ปี) (20, 30)</t>
    </r>
  </si>
  <si>
    <t>U-KPI 5-3(1) MOU ลงนามทั้งหมด
จำนวนเครือข่ายในต่างประเทศที่มีการลงนามบันทึกข้อตกลงความร่วมมือ (MOU/MOA) เพิ่มเติม (หน่วย: แห่ง/ปี)
U-KPI 5-3(2) ร้อยละของจำนวนเครือข่ายที่มีกิจกรรมในระดับชาติและนานาชาติ (หน่วย: ร้อยละ/ปี)</t>
  </si>
  <si>
    <t>P 5-3(2) โครงการพัฒนาบุคลากรร่วมกับเครือข่ายมหาวิทยาลัยในต่างประเทศ</t>
  </si>
  <si>
    <t xml:space="preserve">2. งานทรัพยากรบุคคลและการจัดการความรู้
: น.ส.พัชรี ยะคะเสม
: น.ส.สุวาที อภิบาลภูวนารถ
: น.ส.จีรนันท์ ธนนพพิพัฒน์
</t>
  </si>
  <si>
    <t>ร้อยละของบุคลากรผ่านเกณฑ์พื้นฐานภาษาอังกฤษ ในสายวิชาการ และสายสนับสนุน</t>
  </si>
  <si>
    <r>
      <rPr>
        <strike/>
        <u/>
        <sz val="14"/>
        <color rgb="FFFF0000"/>
        <rFont val="Chulabhorn Likit Text Light"/>
        <charset val="134"/>
      </rPr>
      <t>U-KPI 5-3(2)</t>
    </r>
    <r>
      <rPr>
        <strike/>
        <sz val="14"/>
        <color rgb="FFFF0000"/>
        <rFont val="Chulabhorn Likit Text Light"/>
        <charset val="134"/>
      </rPr>
      <t xml:space="preserve"> ร้อยละของจำนวนเครือข่ายที่มีกิจกรรมในระดับชาติและนานาชาติ (หน่วย: ร้อยละ/ปี)</t>
    </r>
  </si>
  <si>
    <t>P 5-3(3) โครงการทุนสนับสนุนการทำ Post Doctoral ของอาจารย์ในมหาวิทยาลัยหรือองค์กรที่มีชื่อเสียงระดับโลก</t>
  </si>
  <si>
    <r>
      <rPr>
        <strike/>
        <u/>
        <sz val="14"/>
        <color theme="9" tint="-0.499984740745262"/>
        <rFont val="Chulabhorn Likit Text Light"/>
        <charset val="134"/>
      </rPr>
      <t>U-KPI 5-3(3)</t>
    </r>
    <r>
      <rPr>
        <strike/>
        <sz val="14"/>
        <color theme="9" tint="-0.499984740745262"/>
        <rFont val="Chulabhorn Likit Text Light"/>
        <charset val="134"/>
      </rPr>
      <t xml:space="preserve"> จำนวนอาจารย์ ที่ไปทำงานวิจัย Postdoc ณ มหาวิทยาลัยที่มีชื่อเสียงระดับโลก (หน่วย: คน/ปี)</t>
    </r>
  </si>
  <si>
    <t>1. งานเลขานุการคณบดี สารบรรณ การบริหารเครือข่าย วิเทศสัมพันธ์ และกิจกรรมพิเศษ
2. งานทรัพยากรบุคคลและการจัดการความรู้
3. งานบริหารวิจัย นวัตกรรมและทรัพย์สินทางปัญญา</t>
  </si>
  <si>
    <t>P 5-3(4) โครงการทุนสนับสนุนการนำเสนอผลงานทางวิชาการของบุคลากรในระดับสากล</t>
  </si>
  <si>
    <r>
      <rPr>
        <strike/>
        <u/>
        <sz val="14"/>
        <color rgb="FF002060"/>
        <rFont val="Chulabhorn Likit Text Light"/>
        <charset val="134"/>
      </rPr>
      <t>U-KPI 5-3(4)</t>
    </r>
    <r>
      <rPr>
        <strike/>
        <sz val="14"/>
        <color rgb="FF002060"/>
        <rFont val="Chulabhorn Likit Text Light"/>
        <charset val="134"/>
      </rPr>
      <t xml:space="preserve"> จำนวนผลงานวิจัย/วิชาการ ที่ได้รับการนำเสนอในการประชุมวิชาการระดับนานาชาติ (หน่วย: ผลงาน/ปี)</t>
    </r>
  </si>
  <si>
    <t>1. งานเลขานุการคณบดี สารบรรณ การบริหารเครือข่าย วิเทศสัมพันธ์ และกิจกรรมพิเศษ
2. งานบริหารวิจัย นวัตกรรมและทรัพย์สินทางปัญญา</t>
  </si>
  <si>
    <t>P 5-3(5) โครงการพัฒนาความร่วมมือด้านการวิจัยในระดับสากล</t>
  </si>
  <si>
    <t xml:space="preserve">2. งานเลขานุการคณบดี สารบรรณ การบริหารเครือข่าย วิเทศสัมพันธ์ และกิจกรรมพิเศษ
: นางนงลักษณ์ ภูมิไพบูลย์
: น.ส.พรนภา แซ่โง้ว
: น.ส.ณปริญญ์ วัฒนศิลป์
: นางสุนัทที เกษสังข์ </t>
  </si>
  <si>
    <r>
      <rPr>
        <strike/>
        <u/>
        <sz val="14"/>
        <color theme="9" tint="-0.499984740745262"/>
        <rFont val="Chulabhorn Likit Text Light"/>
        <charset val="134"/>
      </rPr>
      <t>U-KPI 5-3(5)</t>
    </r>
    <r>
      <rPr>
        <strike/>
        <sz val="14"/>
        <color theme="9" tint="-0.499984740745262"/>
        <rFont val="Chulabhorn Likit Text Light"/>
        <charset val="134"/>
      </rPr>
      <t xml:space="preserve"> จำนวนผลงานวิจัย/นวัตกรรมที่มีผู้ร่วมวิจัยในระดับสากล (หน่วย: ผลงาน/ปี)</t>
    </r>
  </si>
  <si>
    <t>1. งานเลขานุการคณบดี สารบรรณ การบริหารเครือข่าย วิเทศสัมพันธ์ และกิจกรรมพิเศษ
: นางนงลักษณ์ ภูมิไพบูลย์
: น.ส.พรนภา แซ่โง้ว
: น.ส.ณปริญญ์ วัฒนศิลป์
: นางสุนัทที เกษสังข์ 
: น.ส.สิรินัธธาร์ สุขปราศรัย
: น.ส.จิรสุภา บัวเพ็ง
: นายธีระ แสงพิกุลทอง
2. งานบริการวิชาการและสังคมฯ
: น.ส.อภิรดี เฉลิมทิตย์
: น.ส.ปรีญารัตน์ สังกระธาตุ</t>
  </si>
  <si>
    <r>
      <rPr>
        <b/>
        <u/>
        <sz val="14"/>
        <color theme="9" tint="-0.499984740745262"/>
        <rFont val="Chulabhorn Likit Text Light"/>
        <charset val="134"/>
      </rPr>
      <t>S-KPI 5-4(1)</t>
    </r>
    <r>
      <rPr>
        <sz val="14"/>
        <color theme="9" tint="-0.499984740745262"/>
        <rFont val="Chulabhorn Likit Text Light"/>
        <charset val="134"/>
      </rPr>
      <t xml:space="preserve"> จำนวนงานประชุมวิชาการนานาชาติ (หน่วย: ครั้ง/ปี)</t>
    </r>
  </si>
  <si>
    <t>1. งานเทคโนโลยีการศึกษา สารสนเทศและโสตทัศนูปกรณ์
: น.ส.กชมน หมั่นหา
: น.ส.กมลพร สุขสมพืช
: น.ส.ชนม์ชนก ยิ่งไพบูลย์
: น.ส.นิภาภัทร์ วรวัฒน์
: นายวัชรากร  แสงเพ็ง
; นายรัชชานนท์ รัตนคาม
: น.ส.ธนัชชา แสนวัง</t>
  </si>
  <si>
    <r>
      <rPr>
        <b/>
        <sz val="14"/>
        <color theme="1"/>
        <rFont val="Chulabhorn Likit Text Light"/>
        <charset val="134"/>
      </rPr>
      <t xml:space="preserve">ยุทธศาสตร์ที่ 4 : องค์กรที่ขับเคลื่อนด้วยข้อมูล อย่างมีประสิทธิภาพ เพื่อความยั่งยืน (An efficient, data-driven organization for sustainability)
</t>
    </r>
    <r>
      <rPr>
        <b/>
        <sz val="14"/>
        <color rgb="FFFF0000"/>
        <rFont val="Chulabhorn Likit Text Light"/>
        <charset val="134"/>
      </rPr>
      <t xml:space="preserve">ยุทธศาสตร์ที่ 4 : เป็นองค์กรสมรรถนะสูง ที่ขับเคลื่อนด้วยข้อมูล อย่างมีประสิทธิภาพ เพื่อความยั่งยืน (A high-performance organization driven by data efficiently for sustainability)
</t>
    </r>
    <r>
      <rPr>
        <b/>
        <sz val="14"/>
        <color theme="9" tint="-0.499984740745262"/>
        <rFont val="Chulabhorn Likit Text Light"/>
        <charset val="134"/>
      </rPr>
      <t>ยุทธศาสตร์ที่ 4 : การยกระดับสถาบันการศึกษา สู่ความเป็นเลิศด้วยดิจิทัลและปัญญาประดิษฐ์ เพื่อความยั่งยืน (Excellence Through Digital Transformation and AI for Sustainability)</t>
    </r>
  </si>
  <si>
    <t>เป็นองค์กรที่มีประสิทธิภาพ ขับเคลื่อนด้วยข้อมูล เพื่อความเป็นเลิศและยั่งยืน โดยสามารถผ่านเกณฑ์ EdPEX200 และ TQC (350) และก้าวเข้าสู่การจัดอันดับโลก</t>
  </si>
  <si>
    <t xml:space="preserve">มุ่งสู่การเป็นสถาบันการศึกษาสมัยใหม่ที่ใช้เทคโนโลยีดิจิทัลและปัญญาประดิษฐ์เป็นรากฐานในการพัฒนาทุกพันธกิจ โดยบูรณาการร่วมกับราชวิทยาลัยจุฬาภรณ์เพื่อสร้างนวัตกรรมและความยั่งยืน </t>
  </si>
  <si>
    <r>
      <rPr>
        <b/>
        <sz val="14"/>
        <color theme="1"/>
        <rFont val="Chulabhorn Likit Text Light"/>
        <charset val="134"/>
      </rPr>
      <t>O4-1</t>
    </r>
    <r>
      <rPr>
        <sz val="14"/>
        <color theme="1"/>
        <rFont val="Chulabhorn Likit Text Light"/>
        <charset val="134"/>
      </rPr>
      <t xml:space="preserve"> พัฒนาแพลตฟอร์มการจัดการแบบบูรณาการ</t>
    </r>
  </si>
  <si>
    <t>O4-1 พัฒนา Platform แบบบูรณาการที่มีประสิทธิภาพและมั่นคงปลอดภัย</t>
  </si>
  <si>
    <t>O4-1  พัฒนาระบบนิเวศดิจิทัลและปัญญาประดิษฐ์แบบบูรณาการ (Develop Integrated Digital &amp; AI Ecosystem)</t>
  </si>
  <si>
    <r>
      <rPr>
        <b/>
        <sz val="14"/>
        <color theme="1"/>
        <rFont val="Chulabhorn Likit Text Light"/>
        <charset val="134"/>
      </rPr>
      <t>O4-2</t>
    </r>
    <r>
      <rPr>
        <sz val="14"/>
        <color theme="1"/>
        <rFont val="Chulabhorn Likit Text Light"/>
        <charset val="134"/>
      </rPr>
      <t xml:space="preserve"> มุ่งเน้นความเป็นเลิศของมนุษย์</t>
    </r>
  </si>
  <si>
    <t>O4-2 พัฒนาบุคลากรทุกระดับในองค์กร ให้มีสมรรถนะสูง ตามสาขางาน มีคุณลักษณะตามค่านิยมหลัก (Core Values) ของ วพศส. โดยใช้ปัญญาประดิษฐ์ (AI)</t>
  </si>
  <si>
    <t>O4-2  ยกระดับการดำเนินงานด้วยเทคโนโลยีดิจิทัลและปัญญาประดิษฐ์ (Enhance Operations through Digital Technology &amp; AI)</t>
  </si>
  <si>
    <r>
      <rPr>
        <b/>
        <sz val="14"/>
        <color theme="1"/>
        <rFont val="Chulabhorn Likit Text Light"/>
        <charset val="134"/>
      </rPr>
      <t>O4-3</t>
    </r>
    <r>
      <rPr>
        <sz val="14"/>
        <color theme="1"/>
        <rFont val="Chulabhorn Likit Text Light"/>
        <charset val="134"/>
      </rPr>
      <t xml:space="preserve"> สร้างความยั่งยืนทางการเงิน</t>
    </r>
  </si>
  <si>
    <t>O4-3 เสริมเสถียรภาพทางการเงินการคลัง ให้มีความมั่นคงในระยะยาวมีแผนติดตาม การใช้งบประมาณอย่างมีประสิทธิภาพ</t>
  </si>
  <si>
    <r>
      <rPr>
        <b/>
        <strike/>
        <sz val="14"/>
        <color theme="1"/>
        <rFont val="Chulabhorn Likit Text Light"/>
        <charset val="134"/>
      </rPr>
      <t>KR-OP 4-1</t>
    </r>
    <r>
      <rPr>
        <strike/>
        <sz val="14"/>
        <color theme="1"/>
        <rFont val="Chulabhorn Likit Text Light"/>
        <charset val="134"/>
      </rPr>
      <t xml:space="preserve"> มีผลคะแนนในเกณฑ์ TQA หมวด 3, 4, 5 และ 6 ตามเป้าหมายที่กำหนด (ร้อยละ 25-45-65-75-85-95 ตามลำดับ)</t>
    </r>
  </si>
  <si>
    <t>KR-OP 4-1 มีโครงสร้างพื้นฐานสนับสนุนการบริหารจัดการข้อมูล เพื่อการบริหารจัดการวิทยาลัยฯ</t>
  </si>
  <si>
    <t>KR-OP 4-1: ระบบดิจิทัลและ AI เชื่อมโยงกับ รจภ. ครอบคลุมทุกพันธกิจ ภายในปี 2570</t>
  </si>
  <si>
    <r>
      <rPr>
        <b/>
        <strike/>
        <sz val="14"/>
        <color theme="1"/>
        <rFont val="Chulabhorn Likit Text Light"/>
        <charset val="134"/>
      </rPr>
      <t xml:space="preserve">KR-OP 4-2 </t>
    </r>
    <r>
      <rPr>
        <strike/>
        <sz val="14"/>
        <color theme="1"/>
        <rFont val="Chulabhorn Likit Text Light"/>
        <charset val="134"/>
      </rPr>
      <t>บุคลากรมีค่านิยมและแนวคิดหลักตามวิสัยทัศน์ของวิทยาลัยฯ และผ่านการประเมิน digital literacy ทุกคน</t>
    </r>
  </si>
  <si>
    <t>KR-OP 4-2 ใช้การวิเคราะห์ข้อมูลเพื่อสนับสนุนการบริหารจัดการองค์กร</t>
  </si>
  <si>
    <t>KR-OP 4-2: ฐานข้อมูลกลางและระบบ AI Analytics พร้อมใช้งานทั้งด้านบริหาร การศึกษา การปฏิบัติงาน ภายในปี 2570</t>
  </si>
  <si>
    <r>
      <rPr>
        <b/>
        <strike/>
        <sz val="14"/>
        <color theme="1"/>
        <rFont val="Chulabhorn Likit Text Light"/>
        <charset val="134"/>
      </rPr>
      <t>KR-OP 4-3</t>
    </r>
    <r>
      <rPr>
        <strike/>
        <sz val="14"/>
        <color theme="1"/>
        <rFont val="Chulabhorn Likit Text Light"/>
        <charset val="134"/>
      </rPr>
      <t xml:space="preserve"> กระบวนการทำงานที่สำคัญ มีการระบุข้อกำหนด lead KPI ได้ครบถ้วนร้อยละ 100</t>
    </r>
  </si>
  <si>
    <t>KR-OP 4-3 ใช้ระบบดิจิทัลส่งเสริมขีดความสามารถให้กับ การศึกษาวิจัย ให้บริการสุขภาพ และการบริหารองค์กร</t>
  </si>
  <si>
    <t>KR-OP 4-3: โครงสร้างพื้นฐานดิจิทัลและการให้บริการสนับสนุนด้านเทคโนโลยีสารสนเทศที่เป็นระบบ</t>
  </si>
  <si>
    <r>
      <rPr>
        <b/>
        <strike/>
        <sz val="14"/>
        <color theme="1"/>
        <rFont val="Chulabhorn Likit Text Light"/>
        <charset val="134"/>
      </rPr>
      <t xml:space="preserve">KR-OP 4-4 </t>
    </r>
    <r>
      <rPr>
        <strike/>
        <sz val="14"/>
        <color theme="1"/>
        <rFont val="Chulabhorn Likit Text Light"/>
        <charset val="134"/>
      </rPr>
      <t>มีระบบฐานข้อมูลในงานที่สำคัญที่มีประสิทธิภาพครบถ้วนร้อยละ 100</t>
    </r>
  </si>
  <si>
    <t>KR-OP 4-4 การบรรลุเกณฑ์คุณภาพการศึกษาเพื่อการดําเนินการที่เป็นเลิศ (EdPEx)</t>
  </si>
  <si>
    <t>KR-OP 4-4: ระบบ LMS และ Digital Content ครอบคลุมทุกหลักสูตร ร้อยละ 100 ปี 2570</t>
  </si>
  <si>
    <r>
      <rPr>
        <b/>
        <strike/>
        <sz val="14"/>
        <color theme="1"/>
        <rFont val="Chulabhorn Likit Text Light"/>
        <charset val="134"/>
      </rPr>
      <t>KR-OP 4-5</t>
    </r>
    <r>
      <rPr>
        <strike/>
        <sz val="14"/>
        <color theme="1"/>
        <rFont val="Chulabhorn Likit Text Light"/>
        <charset val="134"/>
      </rPr>
      <t xml:space="preserve"> มีระบบการจัดการความรู้ในองค์กร ที่สามารถถ่ายทอดการเรียนรู้ในองค์กร อย่างน้อย 1 ระบบ</t>
    </r>
  </si>
  <si>
    <t>KR-OP 4-5 ขับเคลื่อนโยบายที่สอดคล้อง ESG, Green university และ Net Zero Emission อย่างต่อเนื่อง</t>
  </si>
  <si>
    <t>KR-OP 4-5: บุคลากรและนักศึกษาผ่านการประเมิน Digital Literacy ร้อยละ 100 ปี 2570</t>
  </si>
  <si>
    <r>
      <rPr>
        <b/>
        <strike/>
        <sz val="14"/>
        <color theme="1"/>
        <rFont val="Chulabhorn Likit Text Light"/>
        <charset val="134"/>
      </rPr>
      <t>KR-OP 4-6</t>
    </r>
    <r>
      <rPr>
        <strike/>
        <sz val="14"/>
        <color theme="1"/>
        <rFont val="Chulabhorn Likit Text Light"/>
        <charset val="134"/>
      </rPr>
      <t xml:space="preserve"> มีสัดส่วนรายได้ที่เพิ่มขึ้นจากทุกช่องทางอย่างน้อยร้อยละ 10 ต่อปี</t>
    </r>
  </si>
  <si>
    <t>KR-OP 4-6 บุคลากรที่ได้รับการพัฒนาความรู้ สายวิชาการ สายวิชาชีพ และสายสนับสนุนทั่วไป</t>
  </si>
  <si>
    <t xml:space="preserve">KR-OP 4-6: ระบบดิจิทัลและปัญญาประดิษฐ์ในรูปแบบ GenAI สนับสนุนการบริหารการศึกษาและการเรียนการสอน </t>
  </si>
  <si>
    <r>
      <rPr>
        <b/>
        <strike/>
        <sz val="14"/>
        <color theme="1"/>
        <rFont val="Chulabhorn Likit Text Light"/>
        <charset val="134"/>
      </rPr>
      <t>KR-OP 4-7</t>
    </r>
    <r>
      <rPr>
        <strike/>
        <sz val="14"/>
        <color theme="1"/>
        <rFont val="Chulabhorn Likit Text Light"/>
        <charset val="134"/>
      </rPr>
      <t xml:space="preserve"> มีแผนปฏิบัติการทางด้านการเงินที่มีประสิทธิภาพ และมีตัวชี้วัดที่เหมาะสม</t>
    </r>
  </si>
  <si>
    <t>KR-OP 4-7 บุคลากรสายวิชาการ สายวิชาชีพ และสายสนับสนุนได้รับ การกําหนดเส้นทางความก้าวหน้า (Career Path) ของบุคลากรอย่างชัดเจน</t>
  </si>
  <si>
    <t>KR-OP 4-8 ประสิทธิภาพการใช้จ่ายงบประมาณแผ่นดิน และงบประมาณรายได้</t>
  </si>
  <si>
    <r>
      <rPr>
        <b/>
        <sz val="14"/>
        <color theme="1"/>
        <rFont val="Chulabhorn Likit Text Light"/>
        <charset val="134"/>
      </rPr>
      <t>KR-OC 4-1</t>
    </r>
    <r>
      <rPr>
        <sz val="14"/>
        <color theme="1"/>
        <rFont val="Chulabhorn Likit Text Light"/>
        <charset val="134"/>
      </rPr>
      <t xml:space="preserve"> ผ่านการประเมินการประกันคุณภาพการศึกษาประจำปีตามรูปแบบมาตรฐาน EdPEX200 ภายในปีการศึกษา 2566 </t>
    </r>
  </si>
  <si>
    <t>KR-OC-4-1: ประสิทธิภาพการดำเนินงานที่ดีขึ้นจากระบบดิจิทัล (จำนวนกระบวนการที่มีปรับปรุงเพิ่มประสิทธิภาพ ลดระยะเวลาดำเนินงาน 2568: 3 กระบวนการ, 2569: 5 กระบวนการ, 2570 : 7 กระบวนการ)</t>
  </si>
  <si>
    <r>
      <rPr>
        <b/>
        <sz val="14"/>
        <color theme="1"/>
        <rFont val="Chulabhorn Likit Text Light"/>
        <charset val="134"/>
      </rPr>
      <t xml:space="preserve">KR-OC 4-2 </t>
    </r>
    <r>
      <rPr>
        <sz val="14"/>
        <color theme="1"/>
        <rFont val="Chulabhorn Likit Text Light"/>
        <charset val="134"/>
      </rPr>
      <t>ผ่านการประเมินการประกันคุณภาพประจำปีตามรูปแบบมาตรฐาน TQA และเข้าสู่ TQC (350) ใน 6 ปี)</t>
    </r>
  </si>
  <si>
    <t>KR-OC-4-2: ผู้บริหาร หรือคณะกรรมการ มีการใช้ระบบข้อมูลจากฐานข้อมูลกลางพร้อม AI analytics สนับสนุนการตัดสินใจ  (ความถี่ในการใช้ , 2568: ไตรมาสละ 1 ครั้ง, 2569: เดือนละ 1 ครั้ง, 2570 ครอบคลุมการประชุมในระดับบริหาร ไม่น้อยกว่า ร้อยละ 80)</t>
  </si>
  <si>
    <r>
      <rPr>
        <b/>
        <sz val="14"/>
        <color theme="1"/>
        <rFont val="Chulabhorn Likit Text Light"/>
        <charset val="134"/>
      </rPr>
      <t>KR-OC 4-3</t>
    </r>
    <r>
      <rPr>
        <sz val="14"/>
        <color theme="1"/>
        <rFont val="Chulabhorn Likit Text Light"/>
        <charset val="134"/>
      </rPr>
      <t xml:space="preserve"> ก้าวเข้าสู่ World Ranking และติดอันดับ 1 ใน 500 ของโลกในระยะเวลา 6 ปี</t>
    </r>
  </si>
  <si>
    <t xml:space="preserve">KR-OC-4-3:  ระยะเวลาในกระบวนการบริหารจัดการการศึกษาลดลงร้อยละ 30 ภายในปี 2570 </t>
  </si>
  <si>
    <t>KR-OC-4-4: มีการนำระบบปัญญาประดิษฐ์ไปใช้ในการบริหารการศึกษาและการเรียนการสอน อย่างน้อยร้อยละ 50 ของรายวิชา ทุกหลักสูตร ภายในปี 2570</t>
  </si>
  <si>
    <t xml:space="preserve">A high-performance organization driven by data efficiently for sustainability
เป็นองค์กรสมรรถนะสูง ที่ขับเคลื่อนด้วยข้อมูล อย่างมีประสิทธิภาพ เพื่อความยั่งยืน </t>
  </si>
  <si>
    <r>
      <rPr>
        <b/>
        <sz val="14"/>
        <rFont val="Chulabhorn Likit Text Light"/>
        <charset val="134"/>
      </rPr>
      <t>SM 4-1 ปรับโครงสร้าง</t>
    </r>
    <r>
      <rPr>
        <b/>
        <sz val="14"/>
        <color rgb="FFFF0000"/>
        <rFont val="Chulabhorn Likit Text Light"/>
        <charset val="134"/>
      </rPr>
      <t>พื้นฐาน</t>
    </r>
    <r>
      <rPr>
        <b/>
        <sz val="14"/>
        <rFont val="Chulabhorn Likit Text Light"/>
        <charset val="134"/>
      </rPr>
      <t xml:space="preserve">ให้ตอบโจทย์การทำงานยุคดิจิทัล โดยมีการเตรียมความพร้อมสู่การเป็นวิทยาลัยแพทยศาสตร์สมรรถนะสูง </t>
    </r>
    <r>
      <rPr>
        <b/>
        <sz val="14"/>
        <color theme="9" tint="-0.499984740745262"/>
        <rFont val="Chulabhorn Likit Text Light"/>
        <charset val="134"/>
      </rPr>
      <t xml:space="preserve">
SM 4-1 พัฒนาระบบการเรียนรู้ดิจิทัลสนับสนุนการเรียนการสอนทุกหลักสูตร</t>
    </r>
  </si>
  <si>
    <t>P 4-1(1) โครงการ Digital Content Development Workshop Series
วัตถุประสงค์:
  - เพื่อพัฒนาทักษะอาจารย์ในการสร้างเนื้อหาดิจิทัลที่มีคุณภาพ
 - เพื่อสร้างคลังเนื้อหาการสอนดิจิทัลของวิทยาลัย</t>
  </si>
  <si>
    <t>ผู้ช่วยคณบดีฝ่ายบริหารสารสนเทศและเทคโนโลยีดิจิทัล (คณะกรรมการเทคโนโลยีสารสนเทศ)</t>
  </si>
  <si>
    <t>P 4-1(2) โครงการ Microlearning Platform Development
วัตถุประสงค์:
 - พัฒนาระบบการเรียนรู้แบบ bite-sized ที่นักศึกษาสามารถเรียนได้ทุกที่ทุกเวลา</t>
  </si>
  <si>
    <t xml:space="preserve"> - พัฒนาระบบสารสนเทศสำหรับ microlearning
 - สร้างระบบ content management สำหรับอาจารย์
 - พัฒนาระบบติดตามความก้าวหน้าของผู้เรียน</t>
  </si>
  <si>
    <r>
      <rPr>
        <sz val="14"/>
        <color rgb="FFFF0000"/>
        <rFont val="Chulabhorn Likit Text Light"/>
        <charset val="134"/>
      </rPr>
      <t>KPI 4-1(3)</t>
    </r>
    <r>
      <rPr>
        <sz val="14"/>
        <rFont val="Chulabhorn Likit Text Light"/>
        <charset val="134"/>
      </rPr>
      <t xml:space="preserve"> จำนวนวิชาที่มีการประยุกต์ใช้ Microlearning platform ในการเรียนการสอน (หน่วย: รายวิชา/ปี)</t>
    </r>
  </si>
  <si>
    <r>
      <rPr>
        <b/>
        <sz val="14"/>
        <rFont val="Chulabhorn Likit Text Light"/>
        <charset val="134"/>
      </rPr>
      <t>SM 4-2 พัฒนาสู่องค์กรคุณภาพตามเกณฑ์รางวัลคุณภาพแห่งชาติ (TQA)</t>
    </r>
    <r>
      <rPr>
        <b/>
        <sz val="14"/>
        <color theme="9" tint="-0.499984740745262"/>
        <rFont val="Chulabhorn Likit Text Light"/>
        <charset val="134"/>
      </rPr>
      <t xml:space="preserve">
SM 4-2 พัฒนาโครงสร้างพื้นฐาน Smart Classroom สนับสนุนการเรียนการสอนในรูปแบบที่หลากหลาย</t>
    </r>
    <r>
      <rPr>
        <b/>
        <sz val="14"/>
        <color rgb="FF000000"/>
        <rFont val="Chulabhorn Likit Text Light"/>
        <charset val="134"/>
      </rPr>
      <t xml:space="preserve"> 
</t>
    </r>
  </si>
  <si>
    <t>P 4-2(1) Smart Classroom Optimization
วัตถุประสงค์: 
ปรับปรุงห้องเรียนที่มีอยู่ให้รองรับการเรียนการสอนแบบ hybrid
พัฒนาทักษะการใช้เทคโนโลยีในห้องเรียนของอาจารย์</t>
  </si>
  <si>
    <t>P 4-3(1) โครงการ Executive Information System 
วัตถุประสงค์:
 - เพื่อพัฒนาระบบสารสนเทศสำหรับผู้บริหารที่สามารถแสดงข้อมูลสำคัญแบบ Real-time
 - เพื่อสนับสนุนการตัดสินใจเชิงนโยบายด้วยข้อมูลเชิงประจักษ์</t>
  </si>
  <si>
    <t>P 4-4(1) โครงการ KM Credit &amp; Best Practices</t>
  </si>
  <si>
    <t>P 4-4(2) โครงการพัฒนาระบบการจัดการความรู้ของบุคลากรรายบุคคล</t>
  </si>
  <si>
    <t>P 4-4(3) โครงการพัฒนาศักยภาพบุคลากรด้านดิจิทัล (Digital Literacy)</t>
  </si>
  <si>
    <t>P 4-4(4) โครงการพัฒนานวัตกรรมกระบวนการดำเนินงานภายในด้วยการประยุกต์ใช้เทคโนโลยี (Innovation Operational Process with Digital)</t>
  </si>
  <si>
    <t>P 4-5(1) โครงการ AI Tutor Development
วัตถุประสงค์:
 - พัฒนาทีมอาจารย์ผู้เชี่ยวชาญด้าน AI Tutor
 - สร้างต้นแบบ AI Tutor สำหรับรายวิชาพื้นฐาน</t>
  </si>
  <si>
    <t>P 4-5(2) โครงการ GenAI for Course Design
วัตถุประสงค์:
พัฒนาระบบสนับสนุนการออกแบบรายวิชาด้วย GenAI
สร้างเครื่องมือช่วยประเมินผลการเรียนรู้</t>
  </si>
  <si>
    <t>P 4-7(1) โครงการจัดฝึกอบรมแบบ Online &amp; Onsite โดยการจัดฝึกอบรมระยะสั้น online / offline / hybrid (Reskill &amp; Upskill) โดยมุ่งเน้นอาศัยจุดแข็งของวิทยาลัยฯ ด้านสหสาขาวิชาและสหสถาบันทั้งในและต่างประเทศ
 - การจัดหลักสูตรทางด้านวิชาการ สำหรับนักเรียนและประชาชนทั่วไป</t>
  </si>
  <si>
    <t>P 4-7(2) โครงการพัฒนาศักยภาพด้านการเงิน</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</si>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</sst>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7">
    <font>
      <sz val="11"/>
      <color theme="1"/>
      <name val="Tahoma"/>
      <charset val="222"/>
      <scheme val="minor"/>
    </font>
    <font>
      <sz val="14"/>
      <color theme="1"/>
      <name val="Chulabhorn Likit Text Light"/>
      <charset val="134"/>
    </font>
    <font>
      <sz val="14"/>
      <color theme="1"/>
      <name val="Tahoma"/>
      <charset val="222"/>
      <scheme val="minor"/>
    </font>
    <font>
      <b/>
      <sz val="14"/>
      <color theme="1"/>
      <name val="Chulabhorn Likit Text Light"/>
      <charset val="134"/>
    </font>
    <font>
      <b/>
      <sz val="14"/>
      <color theme="9" tint="-0.499984740745262"/>
      <name val="Chulabhorn Likit Text Light"/>
      <charset val="134"/>
    </font>
    <font>
      <b/>
      <sz val="14"/>
      <color rgb="FFFF0000"/>
      <name val="Chulabhorn Likit Text Light"/>
      <charset val="134"/>
    </font>
    <font>
      <strike/>
      <sz val="14"/>
      <color theme="1"/>
      <name val="Chulabhorn Likit Text Light"/>
      <charset val="134"/>
    </font>
    <font>
      <b/>
      <sz val="14"/>
      <color rgb="FF000000"/>
      <name val="Chulabhorn Likit Text Light"/>
      <charset val="134"/>
    </font>
    <font>
      <sz val="14"/>
      <color rgb="FF000000"/>
      <name val="Chulabhorn Likit Text Light"/>
      <charset val="134"/>
    </font>
    <font>
      <sz val="14"/>
      <name val="Chulabhorn Likit Text Light"/>
      <charset val="134"/>
    </font>
    <font>
      <sz val="14"/>
      <color rgb="FFFF0000"/>
      <name val="Chulabhorn Likit Text Light"/>
      <charset val="134"/>
    </font>
    <font>
      <b/>
      <sz val="14"/>
      <color rgb="FFC00000"/>
      <name val="Chulabhorn Likit Text Light"/>
      <charset val="134"/>
    </font>
    <font>
      <b/>
      <sz val="14"/>
      <color rgb="FFC00000"/>
      <name val="Chulabhorn Likit Text Light"/>
      <charset val="222"/>
    </font>
    <font>
      <sz val="12"/>
      <color theme="1"/>
      <name val="Chulabhorn Likit Text Light"/>
      <charset val="134"/>
    </font>
    <font>
      <sz val="11"/>
      <color theme="1"/>
      <name val="Chulabhorn Likit Text Light"/>
      <charset val="134"/>
    </font>
    <font>
      <sz val="14"/>
      <color theme="9" tint="-0.499984740745262"/>
      <name val="Chulabhorn Likit Text Light"/>
      <charset val="134"/>
    </font>
    <font>
      <strike/>
      <sz val="14"/>
      <color theme="9" tint="-0.499984740745262"/>
      <name val="Chulabhorn Likit Text Light"/>
      <charset val="134"/>
    </font>
    <font>
      <b/>
      <sz val="14"/>
      <color rgb="FF002060"/>
      <name val="Chulabhorn Likit Text Light"/>
      <charset val="134"/>
    </font>
    <font>
      <sz val="14"/>
      <color rgb="FF002060"/>
      <name val="Chulabhorn Likit Text Light"/>
      <charset val="134"/>
    </font>
    <font>
      <sz val="14"/>
      <color rgb="FF002060"/>
      <name val="Chulabhorn Likit Text Light"/>
      <charset val="222"/>
    </font>
    <font>
      <sz val="14"/>
      <color theme="9" tint="-0.499984740745262"/>
      <name val="Chulabhorn Likit Text Light"/>
      <charset val="222"/>
    </font>
    <font>
      <strike/>
      <sz val="14"/>
      <color rgb="FFFF0000"/>
      <name val="Chulabhorn Likit Text Light"/>
      <charset val="134"/>
    </font>
    <font>
      <b/>
      <strike/>
      <sz val="14"/>
      <color theme="9" tint="-0.499984740745262"/>
      <name val="Chulabhorn Likit Text Light"/>
      <charset val="222"/>
    </font>
    <font>
      <b/>
      <strike/>
      <sz val="14"/>
      <color rgb="FF002060"/>
      <name val="Chulabhorn Likit Text Light"/>
      <charset val="134"/>
    </font>
    <font>
      <strike/>
      <sz val="14"/>
      <color rgb="FF002060"/>
      <name val="Chulabhorn Likit Text Light"/>
      <charset val="134"/>
    </font>
    <font>
      <b/>
      <strike/>
      <sz val="14"/>
      <color theme="9" tint="-0.499984740745262"/>
      <name val="Chulabhorn Likit Text Light"/>
      <charset val="134"/>
    </font>
    <font>
      <sz val="14"/>
      <name val="Chulabhorn Likit Text Light"/>
      <charset val="222"/>
    </font>
    <font>
      <sz val="14"/>
      <color rgb="FFFF0000"/>
      <name val="Chulabhorn Likit Text Light"/>
      <charset val="222"/>
    </font>
    <font>
      <sz val="14"/>
      <color theme="1" tint="0.499984740745262"/>
      <name val="Chulabhorn Likit Text Light"/>
      <charset val="134"/>
    </font>
    <font>
      <b/>
      <sz val="14"/>
      <name val="Chulabhorn Likit Text Light"/>
      <charset val="134"/>
    </font>
    <font>
      <b/>
      <sz val="14"/>
      <color theme="9" tint="-0.499984740745262"/>
      <name val="Chulabhorn Likit Text Light"/>
      <charset val="222"/>
    </font>
    <font>
      <sz val="11"/>
      <name val="Tahoma"/>
      <charset val="222"/>
      <scheme val="minor"/>
    </font>
    <font>
      <sz val="12"/>
      <name val="Chulabhorn Likit Text Light"/>
      <charset val="134"/>
    </font>
    <font>
      <b/>
      <sz val="16"/>
      <name val="Chulabhorn Likit Text Light"/>
      <charset val="134"/>
    </font>
    <font>
      <b/>
      <u/>
      <sz val="14"/>
      <name val="Chulabhorn Likit Text Light"/>
      <charset val="134"/>
    </font>
    <font>
      <u/>
      <sz val="14"/>
      <name val="Chulabhorn Likit Text Light"/>
      <charset val="134"/>
    </font>
    <font>
      <sz val="11"/>
      <color rgb="FF000000"/>
      <name val="Arial"/>
      <charset val="134"/>
    </font>
    <font>
      <sz val="11"/>
      <color rgb="FF002060"/>
      <name val="Chulabhorn Likit Text Light"/>
      <charset val="134"/>
    </font>
    <font>
      <sz val="11"/>
      <name val="Chulabhorn Likit Text Light"/>
      <charset val="134"/>
    </font>
    <font>
      <u/>
      <sz val="14"/>
      <color rgb="FF000000"/>
      <name val="Chulabhorn Likit Text Light"/>
      <charset val="134"/>
    </font>
    <font>
      <sz val="12"/>
      <color rgb="FF000000"/>
      <name val="Chulabhorn Likit Text Light"/>
      <charset val="134"/>
    </font>
    <font>
      <strike/>
      <sz val="14"/>
      <name val="Chulabhorn Likit Text Light"/>
      <charset val="134"/>
    </font>
    <font>
      <sz val="14"/>
      <color rgb="FF000000"/>
      <name val="Arial"/>
      <charset val="222"/>
    </font>
    <font>
      <sz val="14"/>
      <color rgb="FF000000"/>
      <name val="Arial"/>
      <charset val="134"/>
    </font>
    <font>
      <sz val="14"/>
      <color rgb="FF000000"/>
      <name val="Chulabhorn Likit Text Light"/>
      <charset val="222"/>
    </font>
    <font>
      <u/>
      <sz val="12"/>
      <name val="Chulabhorn Likit Text Light"/>
      <charset val="134"/>
    </font>
    <font>
      <u/>
      <sz val="14"/>
      <color theme="9" tint="-0.499984740745262"/>
      <name val="Chulabhorn Likit Text Light"/>
      <charset val="134"/>
    </font>
    <font>
      <u/>
      <sz val="14"/>
      <color theme="1"/>
      <name val="Chulabhorn Likit Text Light"/>
      <charset val="134"/>
    </font>
    <font>
      <b/>
      <u/>
      <sz val="14"/>
      <color theme="1"/>
      <name val="Chulabhorn Likit Text Light"/>
      <charset val="134"/>
    </font>
    <font>
      <strike/>
      <u/>
      <sz val="14"/>
      <color theme="9" tint="-0.499984740745262"/>
      <name val="Chulabhorn Likit Text Light"/>
      <charset val="134"/>
    </font>
    <font>
      <b/>
      <u/>
      <sz val="14"/>
      <color rgb="FF002060"/>
      <name val="Chulabhorn Likit Text Light"/>
      <charset val="134"/>
    </font>
    <font>
      <sz val="14"/>
      <name val="Arial"/>
      <charset val="134"/>
    </font>
    <font>
      <b/>
      <strike/>
      <sz val="14"/>
      <color theme="1"/>
      <name val="Chulabhorn Likit Text Light"/>
      <charset val="134"/>
    </font>
    <font>
      <b/>
      <u/>
      <sz val="14"/>
      <color rgb="FF000000"/>
      <name val="Chulabhorn Likit Text Light"/>
      <charset val="134"/>
    </font>
    <font>
      <b/>
      <u/>
      <sz val="14"/>
      <color rgb="FFFF0000"/>
      <name val="Chulabhorn Likit Text Light"/>
      <charset val="134"/>
    </font>
    <font>
      <sz val="14"/>
      <color rgb="FF0070C0"/>
      <name val="Chulabhorn Likit Text Light"/>
      <charset val="134"/>
    </font>
    <font>
      <b/>
      <u/>
      <sz val="14"/>
      <color theme="9" tint="-0.499984740745262"/>
      <name val="Chulabhorn Likit Text Light"/>
      <charset val="134"/>
    </font>
    <font>
      <strike/>
      <u/>
      <sz val="14"/>
      <color rgb="FF002060"/>
      <name val="Chulabhorn Likit Text Light"/>
      <charset val="134"/>
    </font>
    <font>
      <u/>
      <sz val="14"/>
      <color rgb="FFFF0000"/>
      <name val="Chulabhorn Likit Text Light"/>
      <charset val="134"/>
    </font>
    <font>
      <strike/>
      <u/>
      <sz val="14"/>
      <color rgb="FFFF0000"/>
      <name val="Chulabhorn Likit Text Light"/>
      <charset val="134"/>
    </font>
    <font>
      <sz val="14"/>
      <name val="Calibri"/>
      <charset val="134"/>
    </font>
    <font>
      <b/>
      <sz val="9"/>
      <name val="Tahoma"/>
      <charset val="134"/>
    </font>
    <font>
      <sz val="9"/>
      <name val="Tahoma"/>
      <charset val="134"/>
    </font>
    <font>
      <sz val="14"/>
      <name val="Chulabhorn Likit Text Light"/>
      <family val="3"/>
    </font>
    <font>
      <sz val="11"/>
      <color rgb="FF002060"/>
      <name val="Chulabhorn Likit Text Light"/>
      <family val="3"/>
    </font>
    <font>
      <b/>
      <u/>
      <sz val="14"/>
      <color rgb="FF000000"/>
      <name val="Chulabhorn Likit Text Light"/>
    </font>
    <font>
      <sz val="14"/>
      <color rgb="FF000000"/>
      <name val="Chulabhorn Likit Text Light"/>
    </font>
  </fonts>
  <fills count="31">
    <fill>
      <patternFill patternType="none"/>
    </fill>
    <fill>
      <patternFill patternType="gray125"/>
    </fill>
    <fill>
      <patternFill patternType="solid">
        <fgColor rgb="FFF8F7C0"/>
        <bgColor indexed="64"/>
      </patternFill>
    </fill>
    <fill>
      <patternFill patternType="solid">
        <fgColor rgb="FFFFFFD1"/>
        <bgColor indexed="64"/>
      </patternFill>
    </fill>
    <fill>
      <patternFill patternType="solid">
        <fgColor rgb="FFF2F2F2"/>
        <bgColor indexed="64"/>
      </patternFill>
    </fill>
    <fill>
      <patternFill patternType="solid">
        <fgColor rgb="FFFFFF00"/>
        <bgColor indexed="64"/>
      </patternFill>
    </fill>
    <fill>
      <patternFill patternType="solid">
        <fgColor rgb="FFFFFFFF"/>
        <bgColor indexed="64"/>
      </patternFill>
    </fill>
    <fill>
      <patternFill patternType="solid">
        <fgColor theme="9" tint="0.39991454817346722"/>
        <bgColor indexed="64"/>
      </patternFill>
    </fill>
    <fill>
      <patternFill patternType="solid">
        <fgColor rgb="FFC9C9FF"/>
        <bgColor indexed="64"/>
      </patternFill>
    </fill>
    <fill>
      <patternFill patternType="solid">
        <fgColor rgb="FFE5E5FF"/>
        <bgColor indexed="64"/>
      </patternFill>
    </fill>
    <fill>
      <patternFill patternType="solid">
        <fgColor rgb="FFF0EAFC"/>
        <bgColor indexed="64"/>
      </patternFill>
    </fill>
    <fill>
      <patternFill patternType="solid">
        <fgColor theme="9" tint="0.79992065187536243"/>
        <bgColor indexed="64"/>
      </patternFill>
    </fill>
    <fill>
      <patternFill patternType="solid">
        <fgColor theme="8" tint="0.79992065187536243"/>
        <bgColor indexed="64"/>
      </patternFill>
    </fill>
    <fill>
      <patternFill patternType="solid">
        <fgColor rgb="FFFFCCFF"/>
        <bgColor indexed="64"/>
      </patternFill>
    </fill>
    <fill>
      <patternFill patternType="solid">
        <fgColor rgb="FFFFEBFF"/>
        <bgColor indexed="64"/>
      </patternFill>
    </fill>
    <fill>
      <patternFill patternType="solid">
        <fgColor theme="0" tint="-4.9989318521683403E-2"/>
        <bgColor indexed="64"/>
      </patternFill>
    </fill>
    <fill>
      <patternFill patternType="solid">
        <fgColor rgb="FFFCD5B5"/>
        <bgColor indexed="64"/>
      </patternFill>
    </fill>
    <fill>
      <patternFill patternType="solid">
        <fgColor rgb="FFFDEDDF"/>
        <bgColor indexed="64"/>
      </patternFill>
    </fill>
    <fill>
      <patternFill patternType="solid">
        <fgColor rgb="FFB7DEE8"/>
        <bgColor indexed="64"/>
      </patternFill>
    </fill>
    <fill>
      <patternFill patternType="solid">
        <fgColor rgb="FFE5F3F7"/>
        <bgColor indexed="64"/>
      </patternFill>
    </fill>
    <fill>
      <patternFill patternType="solid">
        <fgColor rgb="FFF3DF89"/>
        <bgColor indexed="64"/>
      </patternFill>
    </fill>
    <fill>
      <patternFill patternType="solid">
        <fgColor rgb="FFFFFFE1"/>
        <bgColor indexed="64"/>
      </patternFill>
    </fill>
    <fill>
      <patternFill patternType="solid">
        <fgColor theme="5" tint="0.79992065187536243"/>
        <bgColor indexed="64"/>
      </patternFill>
    </fill>
    <fill>
      <patternFill patternType="solid">
        <fgColor rgb="FFB7ECFF"/>
        <bgColor indexed="64"/>
      </patternFill>
    </fill>
    <fill>
      <patternFill patternType="solid">
        <fgColor theme="7" tint="0.79992065187536243"/>
        <bgColor indexed="64"/>
      </patternFill>
    </fill>
    <fill>
      <patternFill patternType="solid">
        <fgColor theme="5" tint="0.39991454817346722"/>
        <bgColor indexed="64"/>
      </patternFill>
    </fill>
    <fill>
      <patternFill patternType="solid">
        <fgColor rgb="FFFAC2FB"/>
        <bgColor indexed="64"/>
      </patternFill>
    </fill>
    <fill>
      <patternFill patternType="solid">
        <fgColor rgb="FFFFC1FF"/>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F0F8A2"/>
        <bgColor indexed="64"/>
      </patternFill>
    </fill>
  </fills>
  <borders count="140">
    <border>
      <left/>
      <right/>
      <top/>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style="medium">
        <color theme="0" tint="-0.34998626667073579"/>
      </left>
      <right/>
      <top/>
      <bottom/>
      <diagonal/>
    </border>
    <border>
      <left style="medium">
        <color theme="2" tint="-0.249977111117893"/>
      </left>
      <right style="thin">
        <color theme="0" tint="-0.34998626667073579"/>
      </right>
      <top style="medium">
        <color theme="2" tint="-0.249977111117893"/>
      </top>
      <bottom style="thin">
        <color theme="0" tint="-0.34998626667073579"/>
      </bottom>
      <diagonal/>
    </border>
    <border>
      <left style="thin">
        <color theme="0" tint="-0.34998626667073579"/>
      </left>
      <right/>
      <top style="medium">
        <color theme="2" tint="-0.249977111117893"/>
      </top>
      <bottom/>
      <diagonal/>
    </border>
    <border>
      <left/>
      <right/>
      <top style="medium">
        <color theme="2" tint="-0.249977111117893"/>
      </top>
      <bottom/>
      <diagonal/>
    </border>
    <border>
      <left style="medium">
        <color theme="2" tint="-0.249977111117893"/>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2" tint="-0.249977111117893"/>
      </left>
      <right style="thin">
        <color theme="0" tint="-0.34998626667073579"/>
      </right>
      <top style="thin">
        <color theme="0" tint="-0.34998626667073579"/>
      </top>
      <bottom style="medium">
        <color theme="2" tint="-0.249977111117893"/>
      </bottom>
      <diagonal/>
    </border>
    <border>
      <left style="thin">
        <color theme="0" tint="-0.34998626667073579"/>
      </left>
      <right style="thin">
        <color theme="0" tint="-0.34998626667073579"/>
      </right>
      <top style="thin">
        <color theme="0" tint="-0.34998626667073579"/>
      </top>
      <bottom style="medium">
        <color theme="2" tint="-0.249977111117893"/>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medium">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style="medium">
        <color theme="0" tint="-0.34998626667073579"/>
      </left>
      <right style="thin">
        <color theme="0" tint="-0.34998626667073579"/>
      </right>
      <top/>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right style="medium">
        <color theme="0" tint="-0.34998626667073579"/>
      </right>
      <top style="medium">
        <color theme="2" tint="-0.249977111117893"/>
      </top>
      <bottom/>
      <diagonal/>
    </border>
    <border>
      <left style="medium">
        <color theme="0" tint="-0.34998626667073579"/>
      </left>
      <right style="thin">
        <color theme="0" tint="-0.34998626667073579"/>
      </right>
      <top style="medium">
        <color theme="2" tint="-0.249977111117893"/>
      </top>
      <bottom style="thin">
        <color theme="0" tint="-0.34998626667073579"/>
      </bottom>
      <diagonal/>
    </border>
    <border>
      <left style="thin">
        <color theme="0" tint="-0.34998626667073579"/>
      </left>
      <right style="thin">
        <color theme="0" tint="-0.34998626667073579"/>
      </right>
      <top style="medium">
        <color theme="2" tint="-0.249977111117893"/>
      </top>
      <bottom style="thin">
        <color theme="0" tint="-0.34998626667073579"/>
      </bottom>
      <diagonal/>
    </border>
    <border>
      <left style="thin">
        <color theme="0" tint="-0.34998626667073579"/>
      </left>
      <right style="medium">
        <color theme="2" tint="-0.249977111117893"/>
      </right>
      <top style="medium">
        <color theme="2" tint="-0.249977111117893"/>
      </top>
      <bottom style="thin">
        <color theme="0" tint="-0.34998626667073579"/>
      </bottom>
      <diagonal/>
    </border>
    <border>
      <left/>
      <right style="medium">
        <color theme="0" tint="-0.34998626667073579"/>
      </right>
      <top/>
      <bottom style="thin">
        <color theme="0" tint="-0.34998626667073579"/>
      </bottom>
      <diagonal/>
    </border>
    <border>
      <left style="thin">
        <color theme="0" tint="-0.34998626667073579"/>
      </left>
      <right style="medium">
        <color theme="2" tint="-0.249977111117893"/>
      </right>
      <top style="thin">
        <color theme="0" tint="-0.34998626667073579"/>
      </top>
      <bottom style="thin">
        <color theme="0" tint="-0.34998626667073579"/>
      </bottom>
      <diagonal/>
    </border>
    <border>
      <left/>
      <right style="medium">
        <color theme="0" tint="-0.34998626667073579"/>
      </right>
      <top style="thin">
        <color theme="0" tint="-0.34998626667073579"/>
      </top>
      <bottom style="thin">
        <color theme="0" tint="-0.34998626667073579"/>
      </bottom>
      <diagonal/>
    </border>
    <border>
      <left style="thin">
        <color theme="2" tint="-0.249977111117893"/>
      </left>
      <right style="medium">
        <color theme="0" tint="-0.34998626667073579"/>
      </right>
      <top style="thin">
        <color theme="0" tint="-0.34998626667073579"/>
      </top>
      <bottom/>
      <diagonal/>
    </border>
    <border>
      <left style="thin">
        <color theme="0" tint="-0.34998626667073579"/>
      </left>
      <right/>
      <top style="thin">
        <color theme="0" tint="-0.34998626667073579"/>
      </top>
      <bottom style="medium">
        <color theme="2" tint="-0.249977111117893"/>
      </bottom>
      <diagonal/>
    </border>
    <border>
      <left style="thin">
        <color theme="2" tint="-0.249977111117893"/>
      </left>
      <right style="medium">
        <color theme="0" tint="-0.34998626667073579"/>
      </right>
      <top/>
      <bottom style="medium">
        <color theme="2" tint="-0.249977111117893"/>
      </bottom>
      <diagonal/>
    </border>
    <border>
      <left style="medium">
        <color theme="0" tint="-0.34998626667073579"/>
      </left>
      <right style="thin">
        <color theme="0" tint="-0.34998626667073579"/>
      </right>
      <top style="thin">
        <color theme="0" tint="-0.34998626667073579"/>
      </top>
      <bottom style="medium">
        <color theme="2" tint="-0.249977111117893"/>
      </bottom>
      <diagonal/>
    </border>
    <border>
      <left style="thin">
        <color theme="0" tint="-0.34998626667073579"/>
      </left>
      <right style="medium">
        <color theme="2" tint="-0.249977111117893"/>
      </right>
      <top style="thin">
        <color theme="0" tint="-0.34998626667073579"/>
      </top>
      <bottom style="medium">
        <color theme="2" tint="-0.249977111117893"/>
      </bottom>
      <diagonal/>
    </border>
    <border>
      <left style="thin">
        <color theme="2" tint="-0.249977111117893"/>
      </left>
      <right/>
      <top style="medium">
        <color theme="2" tint="-0.249977111117893"/>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
      <left style="thin">
        <color theme="2" tint="-0.249977111117893"/>
      </left>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thin">
        <color theme="2" tint="-0.249977111117893"/>
      </left>
      <right/>
      <top/>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2" tint="-0.249977111117893"/>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theme="0" tint="-0.34998626667073579"/>
      </bottom>
      <diagonal/>
    </border>
    <border>
      <left style="thin">
        <color theme="2" tint="-0.249977111117893"/>
      </left>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2" tint="-0.249977111117893"/>
      </left>
      <right style="thin">
        <color theme="0" tint="-0.34998626667073579"/>
      </right>
      <top/>
      <bottom style="thin">
        <color theme="0" tint="-0.34998626667073579"/>
      </bottom>
      <diagonal/>
    </border>
    <border>
      <left style="medium">
        <color theme="2" tint="-0.249977111117893"/>
      </left>
      <right style="thin">
        <color theme="0" tint="-0.34998626667073579"/>
      </right>
      <top style="thin">
        <color theme="0" tint="-0.34998626667073579"/>
      </top>
      <bottom/>
      <diagonal/>
    </border>
    <border>
      <left style="medium">
        <color theme="2" tint="-0.249977111117893"/>
      </left>
      <right style="thin">
        <color theme="0" tint="-0.34998626667073579"/>
      </right>
      <top/>
      <bottom/>
      <diagonal/>
    </border>
    <border>
      <left style="thin">
        <color theme="0" tint="-0.34998626667073579"/>
      </left>
      <right style="thin">
        <color theme="0" tint="-0.34998626667073579"/>
      </right>
      <top/>
      <bottom/>
      <diagonal/>
    </border>
    <border>
      <left/>
      <right style="medium">
        <color theme="2" tint="-0.249977111117893"/>
      </right>
      <top style="medium">
        <color theme="2" tint="-0.249977111117893"/>
      </top>
      <bottom/>
      <diagonal/>
    </border>
    <border>
      <left/>
      <right style="medium">
        <color theme="2" tint="-0.249977111117893"/>
      </right>
      <top/>
      <bottom style="thin">
        <color theme="0" tint="-0.34998626667073579"/>
      </bottom>
      <diagonal/>
    </border>
    <border>
      <left/>
      <right style="medium">
        <color theme="2" tint="-0.249977111117893"/>
      </right>
      <top style="thin">
        <color theme="0" tint="-0.34998626667073579"/>
      </top>
      <bottom/>
      <diagonal/>
    </border>
    <border>
      <left style="thin">
        <color theme="2" tint="-0.249977111117893"/>
      </left>
      <right style="medium">
        <color theme="2" tint="-0.249977111117893"/>
      </right>
      <top style="thin">
        <color theme="2" tint="-0.249977111117893"/>
      </top>
      <bottom style="thin">
        <color theme="2" tint="-0.249977111117893"/>
      </bottom>
      <diagonal/>
    </border>
    <border>
      <left style="thin">
        <color theme="2" tint="-0.249977111117893"/>
      </left>
      <right style="medium">
        <color theme="2" tint="-0.249977111117893"/>
      </right>
      <top style="thin">
        <color theme="2" tint="-0.249977111117893"/>
      </top>
      <bottom style="medium">
        <color theme="2" tint="-0.249977111117893"/>
      </bottom>
      <diagonal/>
    </border>
    <border>
      <left style="thin">
        <color theme="2" tint="-0.249977111117893"/>
      </left>
      <right style="medium">
        <color theme="2" tint="-0.249977111117893"/>
      </right>
      <top/>
      <bottom style="thin">
        <color theme="2" tint="-0.249977111117893"/>
      </bottom>
      <diagonal/>
    </border>
    <border>
      <left style="thin">
        <color theme="0" tint="-0.34998626667073579"/>
      </left>
      <right style="medium">
        <color theme="2" tint="-0.249977111117893"/>
      </right>
      <top/>
      <bottom style="thin">
        <color theme="0" tint="-0.34998626667073579"/>
      </bottom>
      <diagonal/>
    </border>
    <border>
      <left style="medium">
        <color theme="2" tint="-0.249977111117893"/>
      </left>
      <right style="thin">
        <color theme="2" tint="-0.249977111117893"/>
      </right>
      <top style="thin">
        <color theme="0" tint="-0.34998626667073579"/>
      </top>
      <bottom style="thin">
        <color theme="0" tint="-0.34998626667073579"/>
      </bottom>
      <diagonal/>
    </border>
    <border>
      <left style="medium">
        <color theme="2" tint="-0.249977111117893"/>
      </left>
      <right style="thin">
        <color theme="2" tint="-0.249977111117893"/>
      </right>
      <top style="thin">
        <color theme="0" tint="-0.34998626667073579"/>
      </top>
      <bottom style="medium">
        <color theme="2" tint="-0.249977111117893"/>
      </bottom>
      <diagonal/>
    </border>
    <border>
      <left style="thin">
        <color theme="2" tint="-0.249977111117893"/>
      </left>
      <right style="thin">
        <color theme="0" tint="-0.34998626667073579"/>
      </right>
      <top style="thin">
        <color theme="0" tint="-0.34998626667073579"/>
      </top>
      <bottom style="medium">
        <color theme="2" tint="-0.249977111117893"/>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top style="medium">
        <color theme="0" tint="-0.34998626667073579"/>
      </top>
      <bottom/>
      <diagonal/>
    </border>
    <border>
      <left style="medium">
        <color theme="0" tint="-0.34998626667073579"/>
      </left>
      <right style="thin">
        <color theme="0" tint="-0.34998626667073579"/>
      </right>
      <top/>
      <bottom style="medium">
        <color theme="0" tint="-0.34998626667073579"/>
      </bottom>
      <diagonal/>
    </border>
    <border>
      <left style="thin">
        <color theme="0" tint="-0.34998626667073579"/>
      </left>
      <right style="thin">
        <color theme="0" tint="-0.34998626667073579"/>
      </right>
      <top/>
      <bottom style="medium">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right/>
      <top style="thin">
        <color theme="0" tint="-0.34998626667073579"/>
      </top>
      <bottom style="medium">
        <color theme="0" tint="-0.34998626667073579"/>
      </bottom>
      <diagonal/>
    </border>
    <border>
      <left style="thin">
        <color theme="0" tint="-0.34998626667073579"/>
      </left>
      <right/>
      <top style="medium">
        <color theme="0" tint="-0.34998626667073579"/>
      </top>
      <bottom style="thin">
        <color theme="0" tint="-0.34998626667073579"/>
      </bottom>
      <diagonal/>
    </border>
    <border>
      <left/>
      <right/>
      <top style="medium">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249977111117893"/>
      </bottom>
      <diagonal/>
    </border>
    <border>
      <left/>
      <right/>
      <top style="thin">
        <color theme="0" tint="-0.34998626667073579"/>
      </top>
      <bottom/>
      <diagonal/>
    </border>
    <border>
      <left style="thin">
        <color theme="0" tint="-0.34998626667073579"/>
      </left>
      <right/>
      <top/>
      <bottom style="medium">
        <color theme="0" tint="-0.34998626667073579"/>
      </bottom>
      <diagonal/>
    </border>
    <border>
      <left/>
      <right/>
      <top/>
      <bottom style="medium">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medium">
        <color theme="0" tint="-0.34998626667073579"/>
      </right>
      <top style="thin">
        <color theme="0" tint="-0.34998626667073579"/>
      </top>
      <bottom/>
      <diagonal/>
    </border>
    <border>
      <left/>
      <right style="thin">
        <color theme="0" tint="-0.34998626667073579"/>
      </right>
      <top style="medium">
        <color theme="0" tint="-0.34998626667073579"/>
      </top>
      <bottom style="thin">
        <color theme="0" tint="-0.34998626667073579"/>
      </bottom>
      <diagonal/>
    </border>
    <border>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2" tint="-0.249977111117893"/>
      </bottom>
      <diagonal/>
    </border>
    <border>
      <left style="thin">
        <color theme="0" tint="-0.34998626667073579"/>
      </left>
      <right style="thin">
        <color theme="0" tint="-0.34998626667073579"/>
      </right>
      <top/>
      <bottom style="thin">
        <color theme="2" tint="-0.249977111117893"/>
      </bottom>
      <diagonal/>
    </border>
    <border>
      <left style="thin">
        <color theme="0" tint="-0.34998626667073579"/>
      </left>
      <right style="thin">
        <color theme="0" tint="-0.34998626667073579"/>
      </right>
      <top style="thin">
        <color theme="2" tint="-0.249977111117893"/>
      </top>
      <bottom style="thin">
        <color theme="2" tint="-0.249977111117893"/>
      </bottom>
      <diagonal/>
    </border>
    <border>
      <left style="medium">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
      <left style="thin">
        <color theme="2" tint="-0.249977111117893"/>
      </left>
      <right style="thin">
        <color theme="2" tint="-0.249977111117893"/>
      </right>
      <top/>
      <bottom style="thin">
        <color theme="2" tint="-0.249977111117893"/>
      </bottom>
      <diagonal/>
    </border>
    <border>
      <left/>
      <right/>
      <top/>
      <bottom style="thin">
        <color theme="2" tint="-0.249977111117893"/>
      </bottom>
      <diagonal/>
    </border>
    <border>
      <left style="medium">
        <color theme="0" tint="-0.34998626667073579"/>
      </left>
      <right style="thin">
        <color theme="0" tint="-0.34998626667073579"/>
      </right>
      <top style="thin">
        <color theme="0" tint="-0.34998626667073579"/>
      </top>
      <bottom style="thin">
        <color theme="2" tint="-0.249977111117893"/>
      </bottom>
      <diagonal/>
    </border>
    <border>
      <left style="thin">
        <color theme="0" tint="-0.34998626667073579"/>
      </left>
      <right style="medium">
        <color theme="0" tint="-0.34998626667073579"/>
      </right>
      <top style="thin">
        <color theme="0" tint="-0.34998626667073579"/>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0" tint="-0.34998626667073579"/>
      </top>
      <bottom/>
      <diagonal/>
    </border>
    <border>
      <left style="thin">
        <color theme="2" tint="-0.249977111117893"/>
      </left>
      <right/>
      <top style="thin">
        <color theme="2" tint="-0.249977111117893"/>
      </top>
      <bottom style="thin">
        <color theme="2" tint="-0.249977111117893"/>
      </bottom>
      <diagonal/>
    </border>
    <border>
      <left style="thin">
        <color theme="2" tint="-0.249977111117893"/>
      </left>
      <right/>
      <top/>
      <bottom style="thin">
        <color theme="0" tint="-0.34998626667073579"/>
      </bottom>
      <diagonal/>
    </border>
    <border>
      <left style="thin">
        <color theme="0" tint="-0.34998626667073579"/>
      </left>
      <right/>
      <top style="thin">
        <color theme="0" tint="-0.34998626667073579"/>
      </top>
      <bottom style="thin">
        <color theme="2" tint="-0.249977111117893"/>
      </bottom>
      <diagonal/>
    </border>
    <border>
      <left style="thin">
        <color theme="2" tint="-0.249977111117893"/>
      </left>
      <right/>
      <top style="thin">
        <color theme="0" tint="-0.34998626667073579"/>
      </top>
      <bottom style="thin">
        <color theme="2" tint="-0.249977111117893"/>
      </bottom>
      <diagonal/>
    </border>
    <border>
      <left style="thin">
        <color theme="0" tint="-0.34998626667073579"/>
      </left>
      <right style="thin">
        <color theme="2" tint="-0.249977111117893"/>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medium">
        <color theme="2" tint="-0.249977111117893"/>
      </bottom>
      <diagonal/>
    </border>
    <border>
      <left style="medium">
        <color theme="0" tint="-0.34998626667073579"/>
      </left>
      <right style="thin">
        <color theme="0" tint="-0.34998626667073579"/>
      </right>
      <top/>
      <bottom style="medium">
        <color theme="2" tint="-0.249977111117893"/>
      </bottom>
      <diagonal/>
    </border>
    <border>
      <left style="thin">
        <color theme="2" tint="-0.249977111117893"/>
      </left>
      <right/>
      <top style="thin">
        <color theme="0" tint="-0.34998626667073579"/>
      </top>
      <bottom style="medium">
        <color theme="2" tint="-0.249977111117893"/>
      </bottom>
      <diagonal/>
    </border>
    <border>
      <left style="medium">
        <color theme="0" tint="-0.34998626667073579"/>
      </left>
      <right/>
      <top style="thin">
        <color theme="0" tint="-0.34998626667073579"/>
      </top>
      <bottom style="thin">
        <color theme="2" tint="-0.249977111117893"/>
      </bottom>
      <diagonal/>
    </border>
    <border>
      <left/>
      <right/>
      <top style="thin">
        <color theme="0" tint="-0.34998626667073579"/>
      </top>
      <bottom style="thin">
        <color theme="2" tint="-0.249977111117893"/>
      </bottom>
      <diagonal/>
    </border>
    <border>
      <left style="thin">
        <color theme="0" tint="-0.34998626667073579"/>
      </left>
      <right style="thin">
        <color theme="2" tint="-0.249977111117893"/>
      </right>
      <top style="thin">
        <color theme="2" tint="-0.249977111117893"/>
      </top>
      <bottom style="thin">
        <color theme="0" tint="-0.34998626667073579"/>
      </bottom>
      <diagonal/>
    </border>
    <border>
      <left style="medium">
        <color theme="0" tint="-0.34998626667073579"/>
      </left>
      <right style="thin">
        <color theme="0" tint="-0.34998626667073579"/>
      </right>
      <top style="thin">
        <color theme="2" tint="-0.249977111117893"/>
      </top>
      <bottom style="thin">
        <color theme="2" tint="-0.249977111117893"/>
      </bottom>
      <diagonal/>
    </border>
    <border>
      <left style="medium">
        <color theme="0" tint="-0.34998626667073579"/>
      </left>
      <right style="thin">
        <color theme="0" tint="-0.34998626667073579"/>
      </right>
      <top/>
      <bottom style="thin">
        <color theme="2" tint="-0.249977111117893"/>
      </bottom>
      <diagonal/>
    </border>
    <border>
      <left style="thin">
        <color theme="0" tint="-0.34998626667073579"/>
      </left>
      <right style="thin">
        <color theme="0" tint="-0.34998626667073579"/>
      </right>
      <top/>
      <bottom style="medium">
        <color theme="2" tint="-0.249977111117893"/>
      </bottom>
      <diagonal/>
    </border>
    <border>
      <left style="thin">
        <color theme="2" tint="-0.249977111117893"/>
      </left>
      <right style="medium">
        <color theme="0" tint="-0.34998626667073579"/>
      </right>
      <top/>
      <bottom style="thin">
        <color theme="0" tint="-0.34998626667073579"/>
      </bottom>
      <diagonal/>
    </border>
    <border>
      <left style="thin">
        <color theme="2" tint="-0.249977111117893"/>
      </left>
      <right style="medium">
        <color theme="0" tint="-0.34998626667073579"/>
      </right>
      <top style="thin">
        <color theme="0" tint="-0.34998626667073579"/>
      </top>
      <bottom style="thin">
        <color theme="0" tint="-0.34998626667073579"/>
      </bottom>
      <diagonal/>
    </border>
    <border>
      <left style="thin">
        <color theme="2" tint="-0.249977111117893"/>
      </left>
      <right/>
      <top/>
      <bottom style="thin">
        <color theme="2" tint="-0.249977111117893"/>
      </bottom>
      <diagonal/>
    </border>
    <border>
      <left style="thin">
        <color theme="2" tint="-0.249977111117893"/>
      </left>
      <right style="medium">
        <color theme="0" tint="-0.34998626667073579"/>
      </right>
      <top style="thin">
        <color theme="0" tint="-0.34998626667073579"/>
      </top>
      <bottom style="medium">
        <color theme="2" tint="-0.249977111117893"/>
      </bottom>
      <diagonal/>
    </border>
    <border>
      <left style="medium">
        <color theme="2" tint="-0.249977111117893"/>
      </left>
      <right/>
      <top style="medium">
        <color theme="2" tint="-0.249977111117893"/>
      </top>
      <bottom/>
      <diagonal/>
    </border>
    <border>
      <left style="medium">
        <color theme="2" tint="-0.249977111117893"/>
      </left>
      <right/>
      <top style="medium">
        <color theme="2" tint="-0.249977111117893"/>
      </top>
      <bottom style="thin">
        <color theme="0" tint="-0.34998626667073579"/>
      </bottom>
      <diagonal/>
    </border>
    <border>
      <left/>
      <right/>
      <top style="medium">
        <color theme="2" tint="-0.249977111117893"/>
      </top>
      <bottom style="thin">
        <color theme="0" tint="-0.34998626667073579"/>
      </bottom>
      <diagonal/>
    </border>
    <border>
      <left style="medium">
        <color theme="2" tint="-0.249977111117893"/>
      </left>
      <right/>
      <top/>
      <bottom style="thin">
        <color theme="0" tint="-0.34998626667073579"/>
      </bottom>
      <diagonal/>
    </border>
    <border>
      <left style="medium">
        <color theme="2" tint="-0.249977111117893"/>
      </left>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theme="2" tint="-0.249977111117893"/>
      </bottom>
      <diagonal/>
    </border>
    <border>
      <left style="medium">
        <color theme="2" tint="-0.249977111117893"/>
      </left>
      <right/>
      <top style="thin">
        <color theme="0" tint="-0.34998626667073579"/>
      </top>
      <bottom style="medium">
        <color theme="2" tint="-0.249977111117893"/>
      </bottom>
      <diagonal/>
    </border>
    <border>
      <left style="thin">
        <color theme="0" tint="-0.34998626667073579"/>
      </left>
      <right style="thin">
        <color theme="2" tint="-0.249977111117893"/>
      </right>
      <top/>
      <bottom/>
      <diagonal/>
    </border>
    <border>
      <left style="thin">
        <color theme="2" tint="-0.249977111117893"/>
      </left>
      <right style="thin">
        <color theme="2" tint="-0.249977111117893"/>
      </right>
      <top style="thin">
        <color theme="0" tint="-0.34998626667073579"/>
      </top>
      <bottom style="thin">
        <color theme="0" tint="-0.34998626667073579"/>
      </bottom>
      <diagonal/>
    </border>
    <border>
      <left/>
      <right style="medium">
        <color theme="2" tint="-0.249977111117893"/>
      </right>
      <top style="medium">
        <color theme="2" tint="-0.249977111117893"/>
      </top>
      <bottom style="thin">
        <color theme="0" tint="-0.34998626667073579"/>
      </bottom>
      <diagonal/>
    </border>
    <border>
      <left style="thin">
        <color theme="2" tint="-0.249977111117893"/>
      </left>
      <right style="medium">
        <color theme="2" tint="-0.249977111117893"/>
      </right>
      <top style="thin">
        <color theme="2" tint="-0.249977111117893"/>
      </top>
      <bottom/>
      <diagonal/>
    </border>
    <border>
      <left style="thin">
        <color theme="2" tint="-0.249977111117893"/>
      </left>
      <right style="medium">
        <color theme="2" tint="-0.249977111117893"/>
      </right>
      <top/>
      <bottom style="medium">
        <color theme="2" tint="-0.249977111117893"/>
      </bottom>
      <diagonal/>
    </border>
    <border>
      <left style="thin">
        <color theme="2" tint="-0.249977111117893"/>
      </left>
      <right style="medium">
        <color theme="0" tint="-0.34998626667073579"/>
      </right>
      <top style="thin">
        <color theme="0" tint="-0.34998626667073579"/>
      </top>
      <bottom style="thin">
        <color theme="2" tint="-0.249977111117893"/>
      </bottom>
      <diagonal/>
    </border>
    <border>
      <left style="thin">
        <color theme="2" tint="-0.249977111117893"/>
      </left>
      <right style="medium">
        <color theme="0" tint="-0.34998626667073579"/>
      </right>
      <top style="thin">
        <color theme="2" tint="-0.249977111117893"/>
      </top>
      <bottom style="thin">
        <color theme="2" tint="-0.249977111117893"/>
      </bottom>
      <diagonal/>
    </border>
    <border>
      <left style="thin">
        <color theme="0" tint="-0.34998626667073579"/>
      </left>
      <right style="thin">
        <color theme="2" tint="-0.249977111117893"/>
      </right>
      <top style="thin">
        <color theme="0" tint="-0.34998626667073579"/>
      </top>
      <bottom style="medium">
        <color theme="2" tint="-0.249977111117893"/>
      </bottom>
      <diagonal/>
    </border>
    <border>
      <left/>
      <right style="medium">
        <color theme="0" tint="-0.34998626667073579"/>
      </right>
      <top style="thin">
        <color theme="0" tint="-0.34998626667073579"/>
      </top>
      <bottom style="medium">
        <color theme="2" tint="-0.249977111117893"/>
      </bottom>
      <diagonal/>
    </border>
    <border>
      <left/>
      <right style="thin">
        <color theme="0" tint="-0.34998626667073579"/>
      </right>
      <top style="medium">
        <color theme="2" tint="-0.249977111117893"/>
      </top>
      <bottom style="thin">
        <color theme="0" tint="-0.34998626667073579"/>
      </bottom>
      <diagonal/>
    </border>
    <border>
      <left/>
      <right style="medium">
        <color theme="2" tint="-0.249977111117893"/>
      </right>
      <top/>
      <bottom/>
      <diagonal/>
    </border>
    <border>
      <left/>
      <right/>
      <top/>
      <bottom style="medium">
        <color theme="2" tint="-0.249977111117893"/>
      </bottom>
      <diagonal/>
    </border>
    <border>
      <left/>
      <right style="medium">
        <color theme="2" tint="-0.249977111117893"/>
      </right>
      <top/>
      <bottom style="medium">
        <color theme="2" tint="-0.249977111117893"/>
      </bottom>
      <diagonal/>
    </border>
    <border>
      <left style="thin">
        <color theme="0" tint="-0.34998626667073579"/>
      </left>
      <right style="medium">
        <color theme="0" tint="-0.34998626667073579"/>
      </right>
      <top/>
      <bottom style="thin">
        <color theme="2" tint="-0.249977111117893"/>
      </bottom>
      <diagonal/>
    </border>
    <border>
      <left style="thin">
        <color theme="0" tint="-0.34998626667073579"/>
      </left>
      <right style="medium">
        <color theme="0" tint="-0.34998626667073579"/>
      </right>
      <top/>
      <bottom style="medium">
        <color theme="2" tint="-0.249977111117893"/>
      </bottom>
      <diagonal/>
    </border>
    <border>
      <left style="thin">
        <color theme="2" tint="-0.249977111117893"/>
      </left>
      <right/>
      <top style="thin">
        <color theme="2" tint="-0.249977111117893"/>
      </top>
      <bottom style="medium">
        <color theme="2" tint="-0.249977111117893"/>
      </bottom>
      <diagonal/>
    </border>
    <border>
      <left style="thin">
        <color theme="0" tint="-0.34998626667073579"/>
      </left>
      <right style="thin">
        <color theme="2" tint="-0.249977111117893"/>
      </right>
      <top style="thin">
        <color theme="0" tint="-0.34998626667073579"/>
      </top>
      <bottom style="thin">
        <color theme="2" tint="-0.249977111117893"/>
      </bottom>
      <diagonal/>
    </border>
    <border>
      <left style="thin">
        <color theme="0" tint="-0.34998626667073579"/>
      </left>
      <right style="thin">
        <color theme="2" tint="-0.249977111117893"/>
      </right>
      <top/>
      <bottom style="thin">
        <color theme="2" tint="-0.249977111117893"/>
      </bottom>
      <diagonal/>
    </border>
    <border>
      <left style="thin">
        <color theme="0" tint="-0.34998626667073579"/>
      </left>
      <right style="thin">
        <color theme="2" tint="-0.249977111117893"/>
      </right>
      <top/>
      <bottom style="medium">
        <color theme="2" tint="-0.249977111117893"/>
      </bottom>
      <diagonal/>
    </border>
    <border>
      <left style="medium">
        <color theme="2" tint="-0.249977111117893"/>
      </left>
      <right/>
      <top/>
      <bottom/>
      <diagonal/>
    </border>
    <border>
      <left style="medium">
        <color theme="2" tint="-0.249977111117893"/>
      </left>
      <right/>
      <top/>
      <bottom style="medium">
        <color theme="2" tint="-0.249977111117893"/>
      </bottom>
      <diagonal/>
    </border>
  </borders>
  <cellStyleXfs count="1">
    <xf numFmtId="0" fontId="0" fillId="0" borderId="0"/>
  </cellStyleXfs>
  <cellXfs count="1244">
    <xf numFmtId="0" fontId="0" fillId="0" borderId="0" xfId="0"/>
    <xf numFmtId="0" fontId="1" fillId="0" borderId="0" xfId="0" applyFont="1" applyAlignment="1">
      <alignment vertical="top"/>
    </xf>
    <xf numFmtId="0" fontId="1"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3" fillId="0" borderId="3" xfId="0" applyFont="1" applyBorder="1" applyAlignment="1">
      <alignment horizontal="left" vertical="top"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3" fillId="0" borderId="3" xfId="0" applyFont="1" applyBorder="1" applyAlignment="1">
      <alignment vertical="top" wrapText="1"/>
    </xf>
    <xf numFmtId="0" fontId="1" fillId="0" borderId="0" xfId="0" applyFont="1" applyAlignment="1">
      <alignment horizontal="left" vertical="top" wrapText="1"/>
    </xf>
    <xf numFmtId="0" fontId="3" fillId="0" borderId="3" xfId="0" applyFont="1" applyBorder="1" applyAlignment="1">
      <alignment horizontal="left" vertical="top"/>
    </xf>
    <xf numFmtId="0" fontId="1" fillId="0" borderId="3" xfId="0" applyFont="1" applyBorder="1" applyAlignment="1">
      <alignment vertical="top"/>
    </xf>
    <xf numFmtId="0" fontId="7" fillId="3" borderId="7" xfId="0" applyFont="1" applyFill="1" applyBorder="1" applyAlignment="1">
      <alignment horizontal="center" vertical="top" wrapText="1" readingOrder="1"/>
    </xf>
    <xf numFmtId="0" fontId="7" fillId="3" borderId="14" xfId="0" applyFont="1" applyFill="1" applyBorder="1" applyAlignment="1">
      <alignment horizontal="center" vertical="top" wrapText="1" readingOrder="1"/>
    </xf>
    <xf numFmtId="0" fontId="9" fillId="0" borderId="18" xfId="0" applyFont="1" applyBorder="1" applyAlignment="1">
      <alignment horizontal="left" vertical="top" wrapText="1" readingOrder="1"/>
    </xf>
    <xf numFmtId="0" fontId="8" fillId="0" borderId="18" xfId="0" applyFont="1" applyBorder="1" applyAlignment="1">
      <alignment horizontal="left" vertical="top" wrapText="1" readingOrder="1"/>
    </xf>
    <xf numFmtId="0" fontId="9" fillId="5" borderId="12" xfId="0" applyFont="1" applyFill="1" applyBorder="1" applyAlignment="1">
      <alignment horizontal="left" vertical="top" wrapText="1" readingOrder="1"/>
    </xf>
    <xf numFmtId="0" fontId="9" fillId="0" borderId="12" xfId="0" applyFont="1" applyBorder="1" applyAlignment="1">
      <alignment horizontal="center" vertical="top" wrapText="1" readingOrder="1"/>
    </xf>
    <xf numFmtId="0" fontId="9" fillId="0" borderId="16" xfId="0" applyFont="1" applyBorder="1" applyAlignment="1">
      <alignment horizontal="left" vertical="top" wrapText="1" readingOrder="1"/>
    </xf>
    <xf numFmtId="0" fontId="8" fillId="0" borderId="16" xfId="0" applyFont="1" applyBorder="1" applyAlignment="1">
      <alignment horizontal="left" vertical="top" wrapText="1" readingOrder="1"/>
    </xf>
    <xf numFmtId="0" fontId="9" fillId="0" borderId="12" xfId="0" applyFont="1" applyBorder="1" applyAlignment="1">
      <alignment horizontal="left" vertical="top" wrapText="1" readingOrder="1"/>
    </xf>
    <xf numFmtId="0" fontId="8" fillId="5" borderId="19" xfId="0" applyFont="1" applyFill="1" applyBorder="1" applyAlignment="1">
      <alignment horizontal="left" vertical="top" wrapText="1" readingOrder="1"/>
    </xf>
    <xf numFmtId="0" fontId="8" fillId="0" borderId="12" xfId="0" applyFont="1" applyBorder="1" applyAlignment="1">
      <alignment horizontal="left" vertical="top" wrapText="1" readingOrder="1"/>
    </xf>
    <xf numFmtId="0" fontId="8" fillId="0" borderId="19" xfId="0" applyFont="1" applyBorder="1" applyAlignment="1">
      <alignment horizontal="left" vertical="top" wrapText="1" readingOrder="1"/>
    </xf>
    <xf numFmtId="0" fontId="5" fillId="0" borderId="11" xfId="0" applyFont="1" applyBorder="1" applyAlignment="1">
      <alignment horizontal="left" vertical="top" wrapText="1" readingOrder="1"/>
    </xf>
    <xf numFmtId="0" fontId="9" fillId="0" borderId="17" xfId="0" applyFont="1" applyBorder="1" applyAlignment="1">
      <alignment horizontal="left" vertical="top" wrapText="1" readingOrder="1"/>
    </xf>
    <xf numFmtId="0" fontId="9" fillId="0" borderId="21" xfId="0" applyFont="1" applyBorder="1" applyAlignment="1">
      <alignment horizontal="left" vertical="top" wrapText="1" readingOrder="1"/>
    </xf>
    <xf numFmtId="0" fontId="9" fillId="0" borderId="15" xfId="0" applyFont="1" applyBorder="1" applyAlignment="1">
      <alignment horizontal="left" vertical="top" wrapText="1" readingOrder="1"/>
    </xf>
    <xf numFmtId="0" fontId="10" fillId="0" borderId="12" xfId="0" applyFont="1" applyBorder="1" applyAlignment="1">
      <alignment horizontal="left" vertical="top" wrapText="1" readingOrder="1"/>
    </xf>
    <xf numFmtId="0" fontId="7" fillId="3" borderId="19" xfId="0" applyFont="1" applyFill="1" applyBorder="1" applyAlignment="1">
      <alignment horizontal="center" vertical="top" wrapText="1" readingOrder="1"/>
    </xf>
    <xf numFmtId="0" fontId="8" fillId="6" borderId="19" xfId="0" applyFont="1" applyFill="1" applyBorder="1" applyAlignment="1">
      <alignment horizontal="left" vertical="top" wrapText="1" readingOrder="1"/>
    </xf>
    <xf numFmtId="0" fontId="8" fillId="6" borderId="12" xfId="0" applyFont="1" applyFill="1" applyBorder="1" applyAlignment="1">
      <alignment horizontal="left" vertical="top" wrapText="1" readingOrder="1"/>
    </xf>
    <xf numFmtId="0" fontId="9" fillId="6" borderId="12" xfId="0" applyFont="1" applyFill="1" applyBorder="1" applyAlignment="1">
      <alignment horizontal="left" vertical="top" wrapText="1" readingOrder="1"/>
    </xf>
    <xf numFmtId="0" fontId="9" fillId="6" borderId="12" xfId="0" applyFont="1" applyFill="1" applyBorder="1" applyAlignment="1">
      <alignment vertical="top" wrapText="1" readingOrder="1"/>
    </xf>
    <xf numFmtId="0" fontId="9" fillId="6" borderId="12" xfId="0" applyFont="1" applyFill="1" applyBorder="1" applyAlignment="1">
      <alignment horizontal="center" vertical="top" wrapText="1" readingOrder="1"/>
    </xf>
    <xf numFmtId="0" fontId="9" fillId="0" borderId="19" xfId="0" applyFont="1" applyBorder="1" applyAlignment="1">
      <alignment horizontal="left" vertical="top" wrapText="1" readingOrder="1"/>
    </xf>
    <xf numFmtId="0" fontId="9" fillId="6" borderId="19" xfId="0" applyFont="1" applyFill="1" applyBorder="1" applyAlignment="1">
      <alignment horizontal="left" vertical="top" wrapText="1" readingOrder="1"/>
    </xf>
    <xf numFmtId="0" fontId="1" fillId="0" borderId="23" xfId="0" applyFont="1" applyBorder="1" applyAlignment="1">
      <alignment horizontal="center" vertical="center" wrapText="1"/>
    </xf>
    <xf numFmtId="0" fontId="1" fillId="0" borderId="23" xfId="0" applyFont="1" applyBorder="1" applyAlignment="1">
      <alignment horizontal="left" vertical="top" wrapText="1"/>
    </xf>
    <xf numFmtId="0" fontId="7" fillId="3" borderId="32" xfId="0" applyFont="1" applyFill="1" applyBorder="1" applyAlignment="1">
      <alignment horizontal="center" vertical="top" wrapText="1" readingOrder="1"/>
    </xf>
    <xf numFmtId="0" fontId="7" fillId="4" borderId="36" xfId="0" applyFont="1" applyFill="1" applyBorder="1" applyAlignment="1">
      <alignment horizontal="left" vertical="top" wrapText="1" readingOrder="1"/>
    </xf>
    <xf numFmtId="0" fontId="1" fillId="0" borderId="15" xfId="0" applyFont="1" applyBorder="1" applyAlignment="1">
      <alignment horizontal="center" vertical="top"/>
    </xf>
    <xf numFmtId="0" fontId="1" fillId="0" borderId="16" xfId="0" applyFont="1" applyBorder="1" applyAlignment="1">
      <alignment horizontal="center" vertical="top"/>
    </xf>
    <xf numFmtId="0" fontId="1" fillId="0" borderId="37" xfId="0" applyFont="1" applyBorder="1" applyAlignment="1">
      <alignment horizontal="center" vertical="top"/>
    </xf>
    <xf numFmtId="0" fontId="10" fillId="0" borderId="12" xfId="0" applyFont="1" applyBorder="1" applyAlignment="1">
      <alignment horizontal="center" vertical="top" wrapText="1" readingOrder="1"/>
    </xf>
    <xf numFmtId="0" fontId="10" fillId="0" borderId="10" xfId="0" applyFont="1" applyBorder="1" applyAlignment="1">
      <alignment horizontal="center" vertical="top" wrapText="1" readingOrder="1"/>
    </xf>
    <xf numFmtId="0" fontId="10" fillId="0" borderId="38" xfId="0" applyFont="1" applyBorder="1" applyAlignment="1">
      <alignment horizontal="left" vertical="top" wrapText="1" readingOrder="1"/>
    </xf>
    <xf numFmtId="0" fontId="1" fillId="0" borderId="19" xfId="0" applyFont="1" applyBorder="1" applyAlignment="1">
      <alignment horizontal="center" vertical="top" wrapText="1"/>
    </xf>
    <xf numFmtId="0" fontId="1" fillId="0" borderId="12" xfId="0" applyFont="1" applyBorder="1" applyAlignment="1">
      <alignment horizontal="center" vertical="top"/>
    </xf>
    <xf numFmtId="0" fontId="1" fillId="0" borderId="39" xfId="0" applyFont="1" applyBorder="1" applyAlignment="1">
      <alignment horizontal="center" vertical="top"/>
    </xf>
    <xf numFmtId="0" fontId="9" fillId="0" borderId="10" xfId="0" applyFont="1" applyBorder="1" applyAlignment="1">
      <alignment horizontal="center" vertical="top" wrapText="1" readingOrder="1"/>
    </xf>
    <xf numFmtId="0" fontId="9" fillId="0" borderId="38" xfId="0" applyFont="1" applyBorder="1" applyAlignment="1">
      <alignment horizontal="left" vertical="top" wrapText="1" readingOrder="1"/>
    </xf>
    <xf numFmtId="0" fontId="7" fillId="0" borderId="38" xfId="0" applyFont="1" applyBorder="1" applyAlignment="1">
      <alignment horizontal="left" vertical="top" wrapText="1" readingOrder="1"/>
    </xf>
    <xf numFmtId="164" fontId="9" fillId="0" borderId="10" xfId="0" applyNumberFormat="1" applyFont="1" applyBorder="1" applyAlignment="1">
      <alignment horizontal="center" vertical="top" wrapText="1" readingOrder="1"/>
    </xf>
    <xf numFmtId="164" fontId="9" fillId="0" borderId="38" xfId="0" applyNumberFormat="1" applyFont="1" applyBorder="1" applyAlignment="1">
      <alignment horizontal="left" vertical="top" wrapText="1" readingOrder="1"/>
    </xf>
    <xf numFmtId="0" fontId="5" fillId="0" borderId="38" xfId="0" applyFont="1" applyBorder="1" applyAlignment="1">
      <alignment horizontal="left" vertical="top" wrapText="1" readingOrder="1"/>
    </xf>
    <xf numFmtId="0" fontId="7" fillId="3" borderId="38" xfId="0" applyFont="1" applyFill="1" applyBorder="1" applyAlignment="1">
      <alignment horizontal="left" vertical="top" wrapText="1" readingOrder="1"/>
    </xf>
    <xf numFmtId="0" fontId="1" fillId="0" borderId="19" xfId="0" applyFont="1" applyBorder="1" applyAlignment="1">
      <alignment horizontal="center" vertical="top"/>
    </xf>
    <xf numFmtId="0" fontId="7" fillId="4" borderId="38" xfId="0" applyFont="1" applyFill="1" applyBorder="1" applyAlignment="1">
      <alignment horizontal="left" vertical="top" wrapText="1" readingOrder="1"/>
    </xf>
    <xf numFmtId="0" fontId="9" fillId="6" borderId="10" xfId="0" applyFont="1" applyFill="1" applyBorder="1" applyAlignment="1">
      <alignment horizontal="center" vertical="top" wrapText="1" readingOrder="1"/>
    </xf>
    <xf numFmtId="0" fontId="9" fillId="6" borderId="38" xfId="0" applyFont="1" applyFill="1" applyBorder="1" applyAlignment="1">
      <alignment horizontal="left" vertical="top" wrapText="1" readingOrder="1"/>
    </xf>
    <xf numFmtId="0" fontId="1" fillId="0" borderId="12" xfId="0" applyFont="1" applyBorder="1" applyAlignment="1">
      <alignment horizontal="center" vertical="top" wrapText="1"/>
    </xf>
    <xf numFmtId="0" fontId="9" fillId="6" borderId="40" xfId="0" applyFont="1" applyFill="1" applyBorder="1" applyAlignment="1">
      <alignment horizontal="left" vertical="top" wrapText="1" readingOrder="1"/>
    </xf>
    <xf numFmtId="0" fontId="1" fillId="0" borderId="0" xfId="0" applyFont="1" applyAlignment="1">
      <alignment horizontal="center" vertical="top" wrapText="1"/>
    </xf>
    <xf numFmtId="0" fontId="8" fillId="6" borderId="12" xfId="0" applyFont="1" applyFill="1" applyBorder="1" applyAlignment="1">
      <alignment horizontal="center" vertical="top" wrapText="1" readingOrder="1"/>
    </xf>
    <xf numFmtId="0" fontId="9" fillId="6" borderId="42" xfId="0" applyFont="1" applyFill="1" applyBorder="1" applyAlignment="1">
      <alignment horizontal="left" vertical="top" wrapText="1"/>
    </xf>
    <xf numFmtId="0" fontId="9" fillId="6" borderId="42" xfId="0" applyFont="1" applyFill="1" applyBorder="1" applyAlignment="1">
      <alignment vertical="top" wrapText="1" readingOrder="1"/>
    </xf>
    <xf numFmtId="0" fontId="8" fillId="6" borderId="42" xfId="0" applyFont="1" applyFill="1" applyBorder="1" applyAlignment="1">
      <alignment horizontal="left" vertical="top" wrapText="1" readingOrder="1"/>
    </xf>
    <xf numFmtId="0" fontId="8" fillId="6" borderId="42" xfId="0" applyFont="1" applyFill="1" applyBorder="1" applyAlignment="1">
      <alignment horizontal="center" vertical="top" wrapText="1" readingOrder="1"/>
    </xf>
    <xf numFmtId="3" fontId="1" fillId="0" borderId="0" xfId="0" applyNumberFormat="1" applyFont="1" applyAlignment="1">
      <alignment vertical="top"/>
    </xf>
    <xf numFmtId="4" fontId="1" fillId="0" borderId="0" xfId="0" applyNumberFormat="1" applyFont="1" applyAlignment="1">
      <alignment vertical="top"/>
    </xf>
    <xf numFmtId="0" fontId="13" fillId="0" borderId="0" xfId="0" applyFont="1" applyAlignment="1">
      <alignment vertical="top"/>
    </xf>
    <xf numFmtId="0" fontId="13" fillId="0" borderId="0" xfId="0" applyFont="1" applyAlignment="1">
      <alignment horizontal="right" vertical="top"/>
    </xf>
    <xf numFmtId="0" fontId="4" fillId="4" borderId="38" xfId="0" applyFont="1" applyFill="1" applyBorder="1" applyAlignment="1">
      <alignment horizontal="left" vertical="top" wrapText="1" readingOrder="1"/>
    </xf>
    <xf numFmtId="0" fontId="9" fillId="6" borderId="43" xfId="0" applyFont="1" applyFill="1" applyBorder="1" applyAlignment="1">
      <alignment horizontal="left" vertical="top" wrapText="1" readingOrder="1"/>
    </xf>
    <xf numFmtId="0" fontId="8" fillId="6" borderId="10" xfId="0" applyFont="1" applyFill="1" applyBorder="1" applyAlignment="1">
      <alignment horizontal="center" vertical="top" wrapText="1" readingOrder="1"/>
    </xf>
    <xf numFmtId="0" fontId="8" fillId="6" borderId="38" xfId="0" applyFont="1" applyFill="1" applyBorder="1" applyAlignment="1">
      <alignment horizontal="left" vertical="top" wrapText="1" readingOrder="1"/>
    </xf>
    <xf numFmtId="0" fontId="8" fillId="6" borderId="44" xfId="0" applyFont="1" applyFill="1" applyBorder="1" applyAlignment="1">
      <alignment horizontal="center" vertical="top" wrapText="1" readingOrder="1"/>
    </xf>
    <xf numFmtId="0" fontId="8" fillId="6" borderId="45" xfId="0" applyFont="1" applyFill="1" applyBorder="1" applyAlignment="1">
      <alignment horizontal="left" vertical="top" wrapText="1" readingOrder="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1" fillId="0" borderId="46" xfId="0" applyFont="1" applyBorder="1" applyAlignment="1">
      <alignment horizontal="center" vertical="top"/>
    </xf>
    <xf numFmtId="0" fontId="1" fillId="0" borderId="0" xfId="0" applyFont="1" applyAlignment="1">
      <alignment horizontal="center" vertical="top"/>
    </xf>
    <xf numFmtId="3" fontId="1" fillId="0" borderId="0" xfId="0" applyNumberFormat="1" applyFont="1" applyAlignment="1">
      <alignment horizontal="left" vertical="top"/>
    </xf>
    <xf numFmtId="3" fontId="1" fillId="0" borderId="0" xfId="0" applyNumberFormat="1" applyFont="1" applyAlignment="1">
      <alignment horizontal="center" vertical="top"/>
    </xf>
    <xf numFmtId="0" fontId="14" fillId="0" borderId="0" xfId="0" applyFont="1" applyAlignment="1">
      <alignment vertical="top"/>
    </xf>
    <xf numFmtId="0" fontId="14" fillId="0" borderId="0" xfId="0" applyFont="1" applyAlignment="1">
      <alignment vertical="center"/>
    </xf>
    <xf numFmtId="0" fontId="14" fillId="0" borderId="0" xfId="0" applyFont="1" applyAlignment="1">
      <alignment vertical="top" wrapText="1"/>
    </xf>
    <xf numFmtId="0" fontId="0" fillId="0" borderId="0" xfId="0" applyAlignment="1">
      <alignment horizontal="center"/>
    </xf>
    <xf numFmtId="0" fontId="1" fillId="0" borderId="0" xfId="0" applyFont="1"/>
    <xf numFmtId="0" fontId="3" fillId="0" borderId="3" xfId="0" applyFont="1" applyBorder="1" applyAlignment="1">
      <alignment vertical="center" wrapText="1"/>
    </xf>
    <xf numFmtId="0" fontId="3" fillId="0" borderId="0" xfId="0" applyFont="1" applyAlignment="1">
      <alignment vertical="top" wrapText="1"/>
    </xf>
    <xf numFmtId="0" fontId="0" fillId="0" borderId="3" xfId="0" applyBorder="1"/>
    <xf numFmtId="0" fontId="7" fillId="9" borderId="7" xfId="0" applyFont="1" applyFill="1" applyBorder="1" applyAlignment="1">
      <alignment horizontal="center" vertical="top" wrapText="1" readingOrder="1"/>
    </xf>
    <xf numFmtId="0" fontId="7" fillId="10" borderId="11" xfId="0" applyFont="1" applyFill="1" applyBorder="1" applyAlignment="1">
      <alignment horizontal="center" vertical="top" wrapText="1" readingOrder="1"/>
    </xf>
    <xf numFmtId="0" fontId="7" fillId="9" borderId="12" xfId="0" applyFont="1" applyFill="1" applyBorder="1" applyAlignment="1">
      <alignment horizontal="center" vertical="top" wrapText="1" readingOrder="1"/>
    </xf>
    <xf numFmtId="0" fontId="7" fillId="9" borderId="14" xfId="0" applyFont="1" applyFill="1" applyBorder="1" applyAlignment="1">
      <alignment horizontal="center" vertical="top" wrapText="1" readingOrder="1"/>
    </xf>
    <xf numFmtId="0" fontId="10" fillId="9" borderId="12" xfId="0" applyFont="1" applyFill="1" applyBorder="1" applyAlignment="1">
      <alignment horizontal="left" vertical="top" wrapText="1" readingOrder="1"/>
    </xf>
    <xf numFmtId="0" fontId="10" fillId="11" borderId="12" xfId="0" applyFont="1" applyFill="1" applyBorder="1" applyAlignment="1">
      <alignment horizontal="left" vertical="top" wrapText="1" readingOrder="1"/>
    </xf>
    <xf numFmtId="0" fontId="10" fillId="6" borderId="12" xfId="0" applyFont="1" applyFill="1" applyBorder="1" applyAlignment="1">
      <alignment horizontal="center" vertical="top" wrapText="1" readingOrder="1"/>
    </xf>
    <xf numFmtId="0" fontId="9" fillId="6" borderId="50" xfId="0" applyFont="1" applyFill="1" applyBorder="1" applyAlignment="1">
      <alignment horizontal="left" vertical="top" wrapText="1" readingOrder="1"/>
    </xf>
    <xf numFmtId="0" fontId="8" fillId="6" borderId="50" xfId="0" applyFont="1" applyFill="1" applyBorder="1" applyAlignment="1">
      <alignment horizontal="left" vertical="top" wrapText="1" readingOrder="1"/>
    </xf>
    <xf numFmtId="0" fontId="15" fillId="11" borderId="12" xfId="0" applyFont="1" applyFill="1" applyBorder="1" applyAlignment="1">
      <alignment horizontal="left" vertical="top" wrapText="1" readingOrder="1"/>
    </xf>
    <xf numFmtId="0" fontId="15" fillId="6" borderId="12" xfId="0" applyFont="1" applyFill="1" applyBorder="1" applyAlignment="1">
      <alignment horizontal="center" vertical="top" wrapText="1" readingOrder="1"/>
    </xf>
    <xf numFmtId="0" fontId="15" fillId="9" borderId="12" xfId="0" applyFont="1" applyFill="1" applyBorder="1" applyAlignment="1">
      <alignment horizontal="left" vertical="top" wrapText="1" readingOrder="1"/>
    </xf>
    <xf numFmtId="0" fontId="16" fillId="11" borderId="12" xfId="0" applyFont="1" applyFill="1" applyBorder="1" applyAlignment="1">
      <alignment horizontal="left" vertical="top" wrapText="1" readingOrder="1"/>
    </xf>
    <xf numFmtId="0" fontId="17" fillId="6" borderId="7" xfId="0" applyFont="1" applyFill="1" applyBorder="1" applyAlignment="1">
      <alignment horizontal="left" vertical="top" wrapText="1" readingOrder="1"/>
    </xf>
    <xf numFmtId="0" fontId="18" fillId="9" borderId="12" xfId="0" applyFont="1" applyFill="1" applyBorder="1" applyAlignment="1">
      <alignment horizontal="left" vertical="top" wrapText="1" readingOrder="1"/>
    </xf>
    <xf numFmtId="0" fontId="19" fillId="11" borderId="12" xfId="0" applyFont="1" applyFill="1" applyBorder="1" applyAlignment="1">
      <alignment horizontal="left" vertical="top" wrapText="1" readingOrder="1"/>
    </xf>
    <xf numFmtId="0" fontId="18" fillId="6" borderId="12" xfId="0" applyFont="1" applyFill="1" applyBorder="1" applyAlignment="1">
      <alignment horizontal="center" vertical="top" wrapText="1" readingOrder="1"/>
    </xf>
    <xf numFmtId="0" fontId="18" fillId="0" borderId="12" xfId="0" applyFont="1" applyBorder="1" applyAlignment="1">
      <alignment horizontal="center" vertical="top" wrapText="1" readingOrder="1"/>
    </xf>
    <xf numFmtId="0" fontId="4" fillId="6" borderId="7" xfId="0" applyFont="1" applyFill="1" applyBorder="1" applyAlignment="1">
      <alignment horizontal="left" vertical="top" wrapText="1" readingOrder="1"/>
    </xf>
    <xf numFmtId="0" fontId="20" fillId="9" borderId="12" xfId="0" applyFont="1" applyFill="1" applyBorder="1" applyAlignment="1">
      <alignment vertical="top" wrapText="1" readingOrder="1"/>
    </xf>
    <xf numFmtId="0" fontId="15" fillId="11" borderId="12" xfId="0" applyFont="1" applyFill="1" applyBorder="1" applyAlignment="1">
      <alignment vertical="top" wrapText="1" readingOrder="1"/>
    </xf>
    <xf numFmtId="0" fontId="18" fillId="6" borderId="12" xfId="0" applyFont="1" applyFill="1" applyBorder="1" applyAlignment="1">
      <alignment vertical="top" wrapText="1" readingOrder="1"/>
    </xf>
    <xf numFmtId="0" fontId="10" fillId="9" borderId="12" xfId="0" applyFont="1" applyFill="1" applyBorder="1" applyAlignment="1">
      <alignment vertical="top" wrapText="1" readingOrder="1"/>
    </xf>
    <xf numFmtId="0" fontId="10" fillId="11" borderId="12" xfId="0" applyFont="1" applyFill="1" applyBorder="1" applyAlignment="1">
      <alignment vertical="top" wrapText="1" readingOrder="1"/>
    </xf>
    <xf numFmtId="0" fontId="18" fillId="0" borderId="12" xfId="0" applyFont="1" applyBorder="1" applyAlignment="1">
      <alignment horizontal="left" vertical="top" wrapText="1" readingOrder="1"/>
    </xf>
    <xf numFmtId="0" fontId="21" fillId="11" borderId="12" xfId="0" applyFont="1" applyFill="1" applyBorder="1" applyAlignment="1">
      <alignment vertical="top" wrapText="1" readingOrder="1"/>
    </xf>
    <xf numFmtId="0" fontId="22" fillId="6" borderId="7" xfId="0" applyFont="1" applyFill="1" applyBorder="1" applyAlignment="1">
      <alignment horizontal="left" vertical="top" wrapText="1" readingOrder="1"/>
    </xf>
    <xf numFmtId="0" fontId="20" fillId="6" borderId="12" xfId="0" applyFont="1" applyFill="1" applyBorder="1" applyAlignment="1">
      <alignment vertical="top" wrapText="1" readingOrder="1"/>
    </xf>
    <xf numFmtId="0" fontId="15" fillId="6" borderId="12" xfId="0" applyFont="1" applyFill="1" applyBorder="1" applyAlignment="1">
      <alignment vertical="top" wrapText="1" readingOrder="1"/>
    </xf>
    <xf numFmtId="0" fontId="20" fillId="0" borderId="12" xfId="0" applyFont="1" applyBorder="1" applyAlignment="1">
      <alignment horizontal="left" vertical="top" wrapText="1" readingOrder="1"/>
    </xf>
    <xf numFmtId="0" fontId="16" fillId="11" borderId="12" xfId="0" applyFont="1" applyFill="1" applyBorder="1" applyAlignment="1">
      <alignment vertical="top" wrapText="1" readingOrder="1"/>
    </xf>
    <xf numFmtId="0" fontId="23" fillId="6" borderId="7" xfId="0" applyFont="1" applyFill="1" applyBorder="1" applyAlignment="1">
      <alignment horizontal="left" vertical="top" wrapText="1" readingOrder="1"/>
    </xf>
    <xf numFmtId="0" fontId="24" fillId="11" borderId="12" xfId="0" applyFont="1" applyFill="1" applyBorder="1" applyAlignment="1">
      <alignment horizontal="left" vertical="top" wrapText="1" readingOrder="1"/>
    </xf>
    <xf numFmtId="0" fontId="25" fillId="6" borderId="7" xfId="0" applyFont="1" applyFill="1" applyBorder="1" applyAlignment="1">
      <alignment horizontal="left" vertical="top" wrapText="1" readingOrder="1"/>
    </xf>
    <xf numFmtId="0" fontId="20" fillId="9" borderId="12" xfId="0" applyFont="1" applyFill="1" applyBorder="1" applyAlignment="1">
      <alignment horizontal="left" vertical="top" wrapText="1" readingOrder="1"/>
    </xf>
    <xf numFmtId="0" fontId="4" fillId="0" borderId="7" xfId="0" applyFont="1" applyBorder="1" applyAlignment="1">
      <alignment vertical="top" wrapText="1"/>
    </xf>
    <xf numFmtId="0" fontId="15" fillId="0" borderId="12" xfId="0" applyFont="1" applyBorder="1" applyAlignment="1">
      <alignment vertical="top" wrapText="1"/>
    </xf>
    <xf numFmtId="0" fontId="15" fillId="9" borderId="12" xfId="0" applyFont="1" applyFill="1" applyBorder="1" applyAlignment="1">
      <alignment vertical="top" wrapText="1" readingOrder="1"/>
    </xf>
    <xf numFmtId="0" fontId="5" fillId="9" borderId="7" xfId="0" applyFont="1" applyFill="1" applyBorder="1" applyAlignment="1">
      <alignment horizontal="center" vertical="top" wrapText="1" readingOrder="1"/>
    </xf>
    <xf numFmtId="0" fontId="20" fillId="11" borderId="12" xfId="0" applyFont="1" applyFill="1" applyBorder="1" applyAlignment="1">
      <alignment vertical="top" wrapText="1" readingOrder="1"/>
    </xf>
    <xf numFmtId="0" fontId="4" fillId="0" borderId="13" xfId="0" applyFont="1" applyBorder="1" applyAlignment="1">
      <alignment vertical="top" wrapText="1"/>
    </xf>
    <xf numFmtId="0" fontId="15" fillId="0" borderId="14" xfId="0" applyFont="1" applyBorder="1" applyAlignment="1">
      <alignment vertical="top" wrapText="1"/>
    </xf>
    <xf numFmtId="0" fontId="20" fillId="9" borderId="14" xfId="0" applyFont="1" applyFill="1" applyBorder="1" applyAlignment="1">
      <alignment vertical="top" wrapText="1" readingOrder="1"/>
    </xf>
    <xf numFmtId="0" fontId="20" fillId="11" borderId="14" xfId="0" applyFont="1" applyFill="1" applyBorder="1" applyAlignment="1">
      <alignment vertical="top" wrapText="1" readingOrder="1"/>
    </xf>
    <xf numFmtId="0" fontId="15" fillId="6" borderId="14" xfId="0" applyFont="1" applyFill="1" applyBorder="1" applyAlignment="1">
      <alignment horizontal="center" vertical="top" wrapText="1" readingOrder="1"/>
    </xf>
    <xf numFmtId="0" fontId="0" fillId="0" borderId="0" xfId="0" applyAlignment="1">
      <alignment horizontal="right"/>
    </xf>
    <xf numFmtId="0" fontId="13" fillId="0" borderId="0" xfId="0" applyFont="1" applyAlignment="1">
      <alignment horizontal="left"/>
    </xf>
    <xf numFmtId="0" fontId="13" fillId="0" borderId="0" xfId="0" applyFont="1" applyAlignment="1">
      <alignment horizontal="center"/>
    </xf>
    <xf numFmtId="0" fontId="13" fillId="12" borderId="0" xfId="0" applyFont="1" applyFill="1" applyAlignment="1">
      <alignment horizontal="right"/>
    </xf>
    <xf numFmtId="0" fontId="13" fillId="12" borderId="0" xfId="0" applyFont="1" applyFill="1" applyAlignment="1">
      <alignment horizontal="left"/>
    </xf>
    <xf numFmtId="0" fontId="1" fillId="0" borderId="0" xfId="0" applyFont="1" applyAlignment="1">
      <alignment horizontal="center"/>
    </xf>
    <xf numFmtId="0" fontId="13" fillId="11" borderId="0" xfId="0" applyFont="1" applyFill="1" applyAlignment="1">
      <alignment horizontal="right" vertical="top"/>
    </xf>
    <xf numFmtId="0" fontId="13" fillId="11" borderId="0" xfId="0" applyFont="1" applyFill="1" applyAlignment="1">
      <alignment horizontal="left" vertical="top"/>
    </xf>
    <xf numFmtId="0" fontId="13" fillId="0" borderId="0" xfId="0" applyFont="1" applyAlignment="1">
      <alignment horizontal="left" vertical="top"/>
    </xf>
    <xf numFmtId="0" fontId="8" fillId="0" borderId="0" xfId="0" applyFont="1" applyAlignment="1">
      <alignment horizontal="left" vertical="top"/>
    </xf>
    <xf numFmtId="0" fontId="1" fillId="0" borderId="23" xfId="0" applyFont="1" applyBorder="1" applyAlignment="1">
      <alignment horizontal="center" vertical="top"/>
    </xf>
    <xf numFmtId="0" fontId="0" fillId="0" borderId="23" xfId="0" applyBorder="1" applyAlignment="1">
      <alignment horizontal="center"/>
    </xf>
    <xf numFmtId="0" fontId="7" fillId="9" borderId="32" xfId="0" applyFont="1" applyFill="1" applyBorder="1" applyAlignment="1">
      <alignment horizontal="center" vertical="top" wrapText="1" readingOrder="1"/>
    </xf>
    <xf numFmtId="0" fontId="7" fillId="4" borderId="56" xfId="0" applyFont="1" applyFill="1" applyBorder="1" applyAlignment="1">
      <alignment vertical="top" wrapText="1" readingOrder="1"/>
    </xf>
    <xf numFmtId="0" fontId="1" fillId="0" borderId="47" xfId="0" applyFont="1" applyBorder="1" applyAlignment="1">
      <alignment horizontal="center" vertical="top"/>
    </xf>
    <xf numFmtId="0" fontId="0" fillId="0" borderId="57" xfId="0" applyBorder="1" applyAlignment="1">
      <alignment horizontal="center"/>
    </xf>
    <xf numFmtId="0" fontId="10" fillId="6" borderId="10" xfId="0" applyFont="1" applyFill="1" applyBorder="1" applyAlignment="1">
      <alignment horizontal="center" vertical="top" wrapText="1" readingOrder="1"/>
    </xf>
    <xf numFmtId="0" fontId="9" fillId="6" borderId="54" xfId="0" applyFont="1" applyFill="1" applyBorder="1" applyAlignment="1">
      <alignment vertical="top" wrapText="1" readingOrder="1"/>
    </xf>
    <xf numFmtId="0" fontId="1" fillId="0" borderId="7" xfId="0" applyFont="1" applyBorder="1" applyAlignment="1">
      <alignment horizontal="center" vertical="top" wrapText="1"/>
    </xf>
    <xf numFmtId="0" fontId="1" fillId="0" borderId="29" xfId="0" applyFont="1" applyBorder="1" applyAlignment="1">
      <alignment horizontal="center" vertical="top"/>
    </xf>
    <xf numFmtId="0" fontId="15" fillId="6" borderId="10" xfId="0" applyFont="1" applyFill="1" applyBorder="1" applyAlignment="1">
      <alignment horizontal="center" vertical="top" wrapText="1" readingOrder="1"/>
    </xf>
    <xf numFmtId="0" fontId="7" fillId="4" borderId="54" xfId="0" applyFont="1" applyFill="1" applyBorder="1" applyAlignment="1">
      <alignment vertical="top" wrapText="1" readingOrder="1"/>
    </xf>
    <xf numFmtId="0" fontId="1" fillId="0" borderId="7" xfId="0" applyFont="1" applyBorder="1" applyAlignment="1">
      <alignment horizontal="center" vertical="top"/>
    </xf>
    <xf numFmtId="0" fontId="0" fillId="0" borderId="29" xfId="0" applyBorder="1" applyAlignment="1">
      <alignment horizontal="center"/>
    </xf>
    <xf numFmtId="0" fontId="18" fillId="0" borderId="10" xfId="0" applyFont="1" applyBorder="1" applyAlignment="1">
      <alignment horizontal="center" vertical="top" wrapText="1" readingOrder="1"/>
    </xf>
    <xf numFmtId="0" fontId="18" fillId="0" borderId="54" xfId="0" applyFont="1" applyBorder="1" applyAlignment="1">
      <alignment vertical="top" wrapText="1" readingOrder="1"/>
    </xf>
    <xf numFmtId="0" fontId="15" fillId="0" borderId="12" xfId="0" applyFont="1" applyBorder="1" applyAlignment="1">
      <alignment horizontal="center" vertical="top" wrapText="1" readingOrder="1"/>
    </xf>
    <xf numFmtId="0" fontId="15" fillId="0" borderId="10" xfId="0" applyFont="1" applyBorder="1" applyAlignment="1">
      <alignment horizontal="center" vertical="top" wrapText="1" readingOrder="1"/>
    </xf>
    <xf numFmtId="0" fontId="15" fillId="0" borderId="54" xfId="0" applyFont="1" applyBorder="1" applyAlignment="1">
      <alignment vertical="top" wrapText="1" readingOrder="1"/>
    </xf>
    <xf numFmtId="0" fontId="7" fillId="10" borderId="54" xfId="0" applyFont="1" applyFill="1" applyBorder="1" applyAlignment="1">
      <alignment vertical="top" wrapText="1" readingOrder="1"/>
    </xf>
    <xf numFmtId="0" fontId="20" fillId="0" borderId="7" xfId="0" applyFont="1" applyBorder="1" applyAlignment="1">
      <alignment horizontal="center" vertical="top" wrapText="1"/>
    </xf>
    <xf numFmtId="0" fontId="26" fillId="0" borderId="12" xfId="0" applyFont="1" applyBorder="1" applyAlignment="1">
      <alignment horizontal="center" vertical="top" wrapText="1"/>
    </xf>
    <xf numFmtId="0" fontId="18" fillId="6" borderId="10" xfId="0" applyFont="1" applyFill="1" applyBorder="1" applyAlignment="1">
      <alignment horizontal="center" vertical="top" wrapText="1" readingOrder="1"/>
    </xf>
    <xf numFmtId="0" fontId="18" fillId="6" borderId="54" xfId="0" applyFont="1" applyFill="1" applyBorder="1" applyAlignment="1">
      <alignment vertical="top" wrapText="1" readingOrder="1"/>
    </xf>
    <xf numFmtId="0" fontId="9" fillId="0" borderId="12" xfId="0" applyFont="1" applyBorder="1" applyAlignment="1">
      <alignment horizontal="center" vertical="top" wrapText="1"/>
    </xf>
    <xf numFmtId="0" fontId="4" fillId="4" borderId="54" xfId="0" applyFont="1" applyFill="1" applyBorder="1" applyAlignment="1">
      <alignment vertical="top" wrapText="1" readingOrder="1"/>
    </xf>
    <xf numFmtId="0" fontId="9" fillId="0" borderId="12" xfId="0" applyFont="1" applyBorder="1" applyAlignment="1">
      <alignment horizontal="center" vertical="top"/>
    </xf>
    <xf numFmtId="0" fontId="1" fillId="0" borderId="58" xfId="0" applyFont="1" applyBorder="1" applyAlignment="1">
      <alignment horizontal="center" vertical="top"/>
    </xf>
    <xf numFmtId="0" fontId="1" fillId="0" borderId="43" xfId="0" applyFont="1" applyBorder="1" applyAlignment="1">
      <alignment horizontal="center" vertical="top"/>
    </xf>
    <xf numFmtId="0" fontId="1" fillId="0" borderId="29" xfId="0" applyFont="1" applyBorder="1" applyAlignment="1">
      <alignment horizontal="center" vertical="top" wrapText="1"/>
    </xf>
    <xf numFmtId="0" fontId="15" fillId="0" borderId="14" xfId="0" applyFont="1" applyBorder="1" applyAlignment="1">
      <alignment horizontal="center" vertical="top" wrapText="1" readingOrder="1"/>
    </xf>
    <xf numFmtId="0" fontId="15" fillId="0" borderId="32" xfId="0" applyFont="1" applyBorder="1" applyAlignment="1">
      <alignment horizontal="center" vertical="top" wrapText="1" readingOrder="1"/>
    </xf>
    <xf numFmtId="0" fontId="15" fillId="0" borderId="55" xfId="0" applyFont="1" applyBorder="1" applyAlignment="1">
      <alignment vertical="top" wrapText="1" readingOrder="1"/>
    </xf>
    <xf numFmtId="0" fontId="1" fillId="0" borderId="59" xfId="0" applyFont="1" applyBorder="1" applyAlignment="1">
      <alignment horizontal="center" vertical="top"/>
    </xf>
    <xf numFmtId="0" fontId="1" fillId="0" borderId="60" xfId="0" applyFont="1" applyBorder="1" applyAlignment="1">
      <alignment horizontal="center" vertical="top"/>
    </xf>
    <xf numFmtId="0" fontId="1" fillId="0" borderId="35" xfId="0" applyFont="1" applyBorder="1" applyAlignment="1">
      <alignment horizontal="center" vertical="top" wrapText="1"/>
    </xf>
    <xf numFmtId="0" fontId="7" fillId="13" borderId="19" xfId="0" applyFont="1" applyFill="1" applyBorder="1" applyAlignment="1">
      <alignment horizontal="center" vertical="top" wrapText="1" readingOrder="1"/>
    </xf>
    <xf numFmtId="0" fontId="7" fillId="13" borderId="12" xfId="0" applyFont="1" applyFill="1" applyBorder="1" applyAlignment="1">
      <alignment horizontal="center" vertical="top" wrapText="1" readingOrder="1"/>
    </xf>
    <xf numFmtId="0" fontId="9" fillId="0" borderId="18" xfId="0" applyFont="1" applyBorder="1" applyAlignment="1">
      <alignment vertical="top" wrapText="1" readingOrder="1"/>
    </xf>
    <xf numFmtId="0" fontId="9" fillId="0" borderId="12" xfId="0" applyFont="1" applyBorder="1" applyAlignment="1">
      <alignment vertical="top" wrapText="1" readingOrder="1"/>
    </xf>
    <xf numFmtId="0" fontId="9" fillId="0" borderId="50" xfId="0" applyFont="1" applyBorder="1" applyAlignment="1">
      <alignment horizontal="left" vertical="top" wrapText="1" readingOrder="1"/>
    </xf>
    <xf numFmtId="0" fontId="8" fillId="0" borderId="15" xfId="0" applyFont="1" applyBorder="1" applyAlignment="1">
      <alignment horizontal="left" vertical="top" wrapText="1" readingOrder="1"/>
    </xf>
    <xf numFmtId="0" fontId="8" fillId="0" borderId="50" xfId="0" applyFont="1" applyBorder="1" applyAlignment="1">
      <alignment horizontal="left" vertical="top" wrapText="1" readingOrder="1"/>
    </xf>
    <xf numFmtId="0" fontId="8" fillId="0" borderId="12" xfId="0" applyFont="1" applyBorder="1" applyAlignment="1">
      <alignment horizontal="center" vertical="top" wrapText="1" readingOrder="1"/>
    </xf>
    <xf numFmtId="0" fontId="10" fillId="0" borderId="12" xfId="0" applyFont="1" applyBorder="1" applyAlignment="1">
      <alignment vertical="top" wrapText="1" readingOrder="1"/>
    </xf>
    <xf numFmtId="0" fontId="9" fillId="0" borderId="63" xfId="0" applyFont="1" applyBorder="1" applyAlignment="1">
      <alignment horizontal="left" vertical="top" wrapText="1" readingOrder="1"/>
    </xf>
    <xf numFmtId="0" fontId="9" fillId="0" borderId="64" xfId="0" applyFont="1" applyBorder="1" applyAlignment="1">
      <alignment horizontal="left" vertical="top" wrapText="1" readingOrder="1"/>
    </xf>
    <xf numFmtId="0" fontId="9" fillId="0" borderId="42" xfId="0" applyFont="1" applyBorder="1" applyAlignment="1">
      <alignment horizontal="left" vertical="top" wrapText="1" readingOrder="1"/>
    </xf>
    <xf numFmtId="0" fontId="10" fillId="0" borderId="42" xfId="0" applyFont="1" applyBorder="1" applyAlignment="1">
      <alignment vertical="top" wrapText="1" readingOrder="1"/>
    </xf>
    <xf numFmtId="0" fontId="10" fillId="0" borderId="42" xfId="0" applyFont="1" applyBorder="1" applyAlignment="1">
      <alignment horizontal="center" vertical="top" wrapText="1" readingOrder="1"/>
    </xf>
    <xf numFmtId="0" fontId="7" fillId="16" borderId="19" xfId="0" applyFont="1" applyFill="1" applyBorder="1" applyAlignment="1">
      <alignment horizontal="center" vertical="top" wrapText="1" readingOrder="1"/>
    </xf>
    <xf numFmtId="0" fontId="7" fillId="16" borderId="12" xfId="0" applyFont="1" applyFill="1" applyBorder="1" applyAlignment="1">
      <alignment horizontal="center" vertical="top" wrapText="1" readingOrder="1"/>
    </xf>
    <xf numFmtId="0" fontId="8" fillId="0" borderId="12" xfId="0" applyFont="1" applyBorder="1" applyAlignment="1">
      <alignment vertical="top" wrapText="1" readingOrder="1"/>
    </xf>
    <xf numFmtId="0" fontId="7" fillId="14" borderId="11" xfId="0" applyFont="1" applyFill="1" applyBorder="1" applyAlignment="1">
      <alignment horizontal="center" vertical="top" wrapText="1" readingOrder="1"/>
    </xf>
    <xf numFmtId="0" fontId="7" fillId="13" borderId="10" xfId="0" applyFont="1" applyFill="1" applyBorder="1" applyAlignment="1">
      <alignment horizontal="center" vertical="top" wrapText="1" readingOrder="1"/>
    </xf>
    <xf numFmtId="0" fontId="7" fillId="4" borderId="11" xfId="0" applyFont="1" applyFill="1" applyBorder="1" applyAlignment="1">
      <alignment horizontal="left" vertical="top" wrapText="1" readingOrder="1"/>
    </xf>
    <xf numFmtId="3" fontId="27" fillId="0" borderId="19" xfId="0" applyNumberFormat="1" applyFont="1" applyBorder="1" applyAlignment="1">
      <alignment horizontal="center" vertical="top"/>
    </xf>
    <xf numFmtId="3" fontId="10" fillId="0" borderId="12" xfId="0" applyNumberFormat="1" applyFont="1" applyBorder="1" applyAlignment="1">
      <alignment horizontal="center" vertical="top"/>
    </xf>
    <xf numFmtId="3" fontId="10" fillId="0" borderId="39" xfId="0" applyNumberFormat="1" applyFont="1" applyBorder="1" applyAlignment="1">
      <alignment horizontal="center" vertical="top"/>
    </xf>
    <xf numFmtId="0" fontId="9" fillId="0" borderId="11" xfId="0" applyFont="1" applyBorder="1" applyAlignment="1">
      <alignment horizontal="left" vertical="top" wrapText="1" readingOrder="1"/>
    </xf>
    <xf numFmtId="3" fontId="26" fillId="0" borderId="19" xfId="0" applyNumberFormat="1" applyFont="1" applyBorder="1" applyAlignment="1">
      <alignment horizontal="center" vertical="top" wrapText="1"/>
    </xf>
    <xf numFmtId="3" fontId="9" fillId="0" borderId="12" xfId="0" applyNumberFormat="1" applyFont="1" applyBorder="1" applyAlignment="1">
      <alignment horizontal="center" vertical="top"/>
    </xf>
    <xf numFmtId="3" fontId="9" fillId="0" borderId="39" xfId="0" applyNumberFormat="1" applyFont="1" applyBorder="1" applyAlignment="1">
      <alignment horizontal="center" vertical="top"/>
    </xf>
    <xf numFmtId="3" fontId="26" fillId="0" borderId="19" xfId="0" applyNumberFormat="1" applyFont="1" applyBorder="1" applyAlignment="1">
      <alignment horizontal="center" vertical="top"/>
    </xf>
    <xf numFmtId="3" fontId="28" fillId="0" borderId="19" xfId="0" applyNumberFormat="1" applyFont="1" applyBorder="1" applyAlignment="1">
      <alignment horizontal="center" vertical="top"/>
    </xf>
    <xf numFmtId="3" fontId="28" fillId="0" borderId="19" xfId="0" applyNumberFormat="1" applyFont="1" applyBorder="1" applyAlignment="1">
      <alignment horizontal="center" vertical="top" wrapText="1"/>
    </xf>
    <xf numFmtId="3" fontId="9" fillId="0" borderId="19" xfId="0" applyNumberFormat="1" applyFont="1" applyBorder="1" applyAlignment="1">
      <alignment horizontal="center" vertical="top" wrapText="1"/>
    </xf>
    <xf numFmtId="3" fontId="9" fillId="0" borderId="19" xfId="0" applyNumberFormat="1" applyFont="1" applyBorder="1" applyAlignment="1">
      <alignment horizontal="center" vertical="top"/>
    </xf>
    <xf numFmtId="0" fontId="8" fillId="0" borderId="10" xfId="0" applyFont="1" applyBorder="1" applyAlignment="1">
      <alignment horizontal="center" vertical="top" wrapText="1" readingOrder="1"/>
    </xf>
    <xf numFmtId="0" fontId="8" fillId="0" borderId="11" xfId="0" applyFont="1" applyBorder="1" applyAlignment="1">
      <alignment horizontal="left" vertical="top" wrapText="1" readingOrder="1"/>
    </xf>
    <xf numFmtId="0" fontId="10" fillId="0" borderId="11" xfId="0" applyFont="1" applyBorder="1" applyAlignment="1">
      <alignment horizontal="left" vertical="top" wrapText="1" readingOrder="1"/>
    </xf>
    <xf numFmtId="0" fontId="7" fillId="15" borderId="11" xfId="0" applyFont="1" applyFill="1" applyBorder="1" applyAlignment="1">
      <alignment horizontal="left" vertical="top" wrapText="1" readingOrder="1"/>
    </xf>
    <xf numFmtId="4" fontId="10" fillId="0" borderId="42" xfId="0" applyNumberFormat="1" applyFont="1" applyBorder="1" applyAlignment="1">
      <alignment horizontal="center" vertical="top"/>
    </xf>
    <xf numFmtId="4" fontId="10" fillId="0" borderId="44" xfId="0" applyNumberFormat="1" applyFont="1" applyBorder="1" applyAlignment="1">
      <alignment horizontal="center" vertical="top"/>
    </xf>
    <xf numFmtId="4" fontId="9" fillId="0" borderId="69" xfId="0" applyNumberFormat="1" applyFont="1" applyBorder="1" applyAlignment="1">
      <alignment horizontal="left" vertical="top" wrapText="1"/>
    </xf>
    <xf numFmtId="3" fontId="9" fillId="0" borderId="41" xfId="0" applyNumberFormat="1" applyFont="1" applyBorder="1" applyAlignment="1">
      <alignment horizontal="center" vertical="top" wrapText="1"/>
    </xf>
    <xf numFmtId="3" fontId="9" fillId="0" borderId="42" xfId="0" applyNumberFormat="1" applyFont="1" applyBorder="1" applyAlignment="1">
      <alignment horizontal="center" vertical="top"/>
    </xf>
    <xf numFmtId="3" fontId="9" fillId="0" borderId="46" xfId="0" applyNumberFormat="1" applyFont="1" applyBorder="1" applyAlignment="1">
      <alignment horizontal="center" vertical="top"/>
    </xf>
    <xf numFmtId="0" fontId="7" fillId="16" borderId="71" xfId="0" applyFont="1" applyFill="1" applyBorder="1" applyAlignment="1">
      <alignment horizontal="center" vertical="top" wrapText="1" readingOrder="1"/>
    </xf>
    <xf numFmtId="0" fontId="7" fillId="16" borderId="10" xfId="0" applyFont="1" applyFill="1" applyBorder="1" applyAlignment="1">
      <alignment horizontal="center" vertical="top" wrapText="1" readingOrder="1"/>
    </xf>
    <xf numFmtId="0" fontId="7" fillId="16" borderId="11" xfId="0" applyFont="1" applyFill="1" applyBorder="1" applyAlignment="1">
      <alignment horizontal="center" vertical="top" wrapText="1" readingOrder="1"/>
    </xf>
    <xf numFmtId="0" fontId="7" fillId="17" borderId="11" xfId="0" applyFont="1" applyFill="1" applyBorder="1" applyAlignment="1">
      <alignment horizontal="center" vertical="top" wrapText="1" readingOrder="1"/>
    </xf>
    <xf numFmtId="0" fontId="10" fillId="0" borderId="19" xfId="0" applyFont="1" applyBorder="1" applyAlignment="1">
      <alignment horizontal="center" vertical="top"/>
    </xf>
    <xf numFmtId="0" fontId="9" fillId="0" borderId="11" xfId="0" applyFont="1" applyBorder="1" applyAlignment="1">
      <alignment horizontal="center" vertical="top" wrapText="1" readingOrder="1"/>
    </xf>
    <xf numFmtId="0" fontId="1" fillId="0" borderId="39" xfId="0" applyFont="1" applyBorder="1" applyAlignment="1">
      <alignment horizontal="center" vertical="top" wrapText="1"/>
    </xf>
    <xf numFmtId="0" fontId="8" fillId="0" borderId="11" xfId="0" applyFont="1" applyBorder="1" applyAlignment="1">
      <alignment horizontal="center" vertical="top" wrapText="1" readingOrder="1"/>
    </xf>
    <xf numFmtId="0" fontId="1" fillId="0" borderId="39" xfId="0" applyFont="1" applyBorder="1" applyAlignment="1">
      <alignment vertical="top" wrapText="1"/>
    </xf>
    <xf numFmtId="0" fontId="9" fillId="0" borderId="10" xfId="0" applyFont="1" applyBorder="1" applyAlignment="1">
      <alignment vertical="top" wrapText="1" readingOrder="1"/>
    </xf>
    <xf numFmtId="0" fontId="9" fillId="0" borderId="11" xfId="0" applyFont="1" applyBorder="1" applyAlignment="1">
      <alignment vertical="top" wrapText="1" readingOrder="1"/>
    </xf>
    <xf numFmtId="0" fontId="1" fillId="0" borderId="18" xfId="0" applyFont="1" applyBorder="1" applyAlignment="1">
      <alignment horizontal="center" vertical="top" wrapText="1" readingOrder="1"/>
    </xf>
    <xf numFmtId="0" fontId="8" fillId="0" borderId="10" xfId="0" applyFont="1" applyBorder="1" applyAlignment="1">
      <alignment vertical="top" wrapText="1" readingOrder="1"/>
    </xf>
    <xf numFmtId="0" fontId="1" fillId="0" borderId="12" xfId="0" applyFont="1" applyBorder="1" applyAlignment="1">
      <alignment horizontal="center" vertical="top" wrapText="1" readingOrder="1"/>
    </xf>
    <xf numFmtId="0" fontId="1" fillId="0" borderId="16" xfId="0" applyFont="1" applyBorder="1" applyAlignment="1">
      <alignment horizontal="center" vertical="top" wrapText="1" readingOrder="1"/>
    </xf>
    <xf numFmtId="0" fontId="1" fillId="0" borderId="50" xfId="0" applyFont="1" applyBorder="1" applyAlignment="1">
      <alignment horizontal="center" vertical="top" wrapText="1" readingOrder="1"/>
    </xf>
    <xf numFmtId="0" fontId="9" fillId="0" borderId="16" xfId="0" applyFont="1" applyBorder="1" applyAlignment="1">
      <alignment vertical="top" wrapText="1" readingOrder="1"/>
    </xf>
    <xf numFmtId="0" fontId="9" fillId="0" borderId="18" xfId="0" applyFont="1" applyBorder="1" applyAlignment="1">
      <alignment horizontal="center" vertical="top" wrapText="1" readingOrder="1"/>
    </xf>
    <xf numFmtId="0" fontId="8" fillId="0" borderId="41" xfId="0" applyFont="1" applyBorder="1" applyAlignment="1">
      <alignment horizontal="left" vertical="top" wrapText="1" readingOrder="1"/>
    </xf>
    <xf numFmtId="0" fontId="8" fillId="0" borderId="42" xfId="0" applyFont="1" applyBorder="1" applyAlignment="1">
      <alignment horizontal="left" vertical="top" wrapText="1" readingOrder="1"/>
    </xf>
    <xf numFmtId="0" fontId="9" fillId="0" borderId="64" xfId="0" applyFont="1" applyBorder="1" applyAlignment="1">
      <alignment vertical="top" wrapText="1" readingOrder="1"/>
    </xf>
    <xf numFmtId="0" fontId="9" fillId="0" borderId="64" xfId="0" applyFont="1" applyBorder="1" applyAlignment="1">
      <alignment horizontal="center" vertical="top" wrapText="1" readingOrder="1"/>
    </xf>
    <xf numFmtId="0" fontId="7" fillId="18" borderId="19" xfId="0" applyFont="1" applyFill="1" applyBorder="1" applyAlignment="1">
      <alignment horizontal="center" vertical="top" wrapText="1" readingOrder="1"/>
    </xf>
    <xf numFmtId="0" fontId="7" fillId="18" borderId="12" xfId="0" applyFont="1" applyFill="1" applyBorder="1" applyAlignment="1">
      <alignment horizontal="center" vertical="top" wrapText="1" readingOrder="1"/>
    </xf>
    <xf numFmtId="0" fontId="10" fillId="0" borderId="17" xfId="0" applyFont="1" applyBorder="1" applyAlignment="1">
      <alignment horizontal="left" vertical="top" wrapText="1" readingOrder="1"/>
    </xf>
    <xf numFmtId="0" fontId="10" fillId="0" borderId="19" xfId="0" applyFont="1" applyBorder="1" applyAlignment="1">
      <alignment horizontal="left" vertical="top" wrapText="1" readingOrder="1"/>
    </xf>
    <xf numFmtId="0" fontId="9" fillId="0" borderId="72" xfId="0" applyFont="1" applyBorder="1" applyAlignment="1">
      <alignment horizontal="center" vertical="top" wrapText="1" readingOrder="1"/>
    </xf>
    <xf numFmtId="0" fontId="9" fillId="0" borderId="50" xfId="0" applyFont="1" applyBorder="1" applyAlignment="1">
      <alignment vertical="top" wrapText="1" readingOrder="1"/>
    </xf>
    <xf numFmtId="0" fontId="7" fillId="20" borderId="19" xfId="0" applyFont="1" applyFill="1" applyBorder="1" applyAlignment="1">
      <alignment horizontal="center" vertical="top" wrapText="1" readingOrder="1"/>
    </xf>
    <xf numFmtId="0" fontId="7" fillId="20" borderId="12" xfId="0" applyFont="1" applyFill="1" applyBorder="1" applyAlignment="1">
      <alignment horizontal="center" vertical="top" wrapText="1" readingOrder="1"/>
    </xf>
    <xf numFmtId="0" fontId="9" fillId="0" borderId="9" xfId="0" applyFont="1" applyBorder="1" applyAlignment="1">
      <alignment vertical="top" wrapText="1" readingOrder="1"/>
    </xf>
    <xf numFmtId="0" fontId="1" fillId="0" borderId="15" xfId="0" applyFont="1" applyBorder="1" applyAlignment="1">
      <alignment horizontal="center" vertical="top" wrapText="1"/>
    </xf>
    <xf numFmtId="0" fontId="1" fillId="0" borderId="16" xfId="0" applyFont="1" applyBorder="1" applyAlignment="1">
      <alignment horizontal="center" vertical="top" wrapText="1"/>
    </xf>
    <xf numFmtId="0" fontId="1" fillId="0" borderId="37" xfId="0" applyFont="1" applyBorder="1" applyAlignment="1">
      <alignment vertical="top" wrapText="1"/>
    </xf>
    <xf numFmtId="0" fontId="1" fillId="0" borderId="66" xfId="0" applyFont="1" applyBorder="1" applyAlignment="1">
      <alignment horizontal="center" vertical="top" wrapText="1" readingOrder="1"/>
    </xf>
    <xf numFmtId="0" fontId="1" fillId="0" borderId="73" xfId="0" applyFont="1" applyBorder="1" applyAlignment="1">
      <alignment horizontal="center" vertical="top" wrapText="1" readingOrder="1"/>
    </xf>
    <xf numFmtId="0" fontId="1" fillId="0" borderId="10" xfId="0" applyFont="1" applyBorder="1" applyAlignment="1">
      <alignment horizontal="center" vertical="top" wrapText="1" readingOrder="1"/>
    </xf>
    <xf numFmtId="0" fontId="1" fillId="0" borderId="11" xfId="0" applyFont="1" applyBorder="1" applyAlignment="1">
      <alignment horizontal="center" vertical="top" wrapText="1" readingOrder="1"/>
    </xf>
    <xf numFmtId="0" fontId="1" fillId="0" borderId="8" xfId="0" applyFont="1" applyBorder="1" applyAlignment="1">
      <alignment horizontal="center" vertical="top" wrapText="1" readingOrder="1"/>
    </xf>
    <xf numFmtId="0" fontId="1" fillId="0" borderId="9" xfId="0" applyFont="1" applyBorder="1" applyAlignment="1">
      <alignment horizontal="center" vertical="top" wrapText="1" readingOrder="1"/>
    </xf>
    <xf numFmtId="0" fontId="1" fillId="0" borderId="67" xfId="0" applyFont="1" applyBorder="1" applyAlignment="1">
      <alignment horizontal="center" vertical="top" wrapText="1" readingOrder="1"/>
    </xf>
    <xf numFmtId="0" fontId="1" fillId="0" borderId="0" xfId="0" applyFont="1" applyAlignment="1">
      <alignment horizontal="center" vertical="top" wrapText="1" readingOrder="1"/>
    </xf>
    <xf numFmtId="0" fontId="8" fillId="0" borderId="9" xfId="0" applyFont="1" applyBorder="1" applyAlignment="1">
      <alignment horizontal="center" vertical="top" wrapText="1" readingOrder="1"/>
    </xf>
    <xf numFmtId="0" fontId="29" fillId="4" borderId="11" xfId="0" applyFont="1" applyFill="1" applyBorder="1" applyAlignment="1">
      <alignment horizontal="left" vertical="top" wrapText="1" readingOrder="1"/>
    </xf>
    <xf numFmtId="0" fontId="9" fillId="0" borderId="66" xfId="0" applyFont="1" applyBorder="1" applyAlignment="1">
      <alignment horizontal="center" vertical="top" wrapText="1" readingOrder="1"/>
    </xf>
    <xf numFmtId="0" fontId="9" fillId="0" borderId="73" xfId="0" applyFont="1" applyBorder="1" applyAlignment="1">
      <alignment horizontal="center" vertical="top" wrapText="1" readingOrder="1"/>
    </xf>
    <xf numFmtId="0" fontId="9" fillId="0" borderId="74" xfId="0" applyFont="1" applyBorder="1" applyAlignment="1">
      <alignment horizontal="center" vertical="top" wrapText="1" readingOrder="1"/>
    </xf>
    <xf numFmtId="0" fontId="9" fillId="0" borderId="75" xfId="0" applyFont="1" applyBorder="1" applyAlignment="1">
      <alignment horizontal="center" vertical="top" wrapText="1" readingOrder="1"/>
    </xf>
    <xf numFmtId="0" fontId="1" fillId="0" borderId="41" xfId="0" applyFont="1" applyBorder="1" applyAlignment="1">
      <alignment horizontal="center" vertical="top"/>
    </xf>
    <xf numFmtId="0" fontId="1" fillId="0" borderId="42" xfId="0" applyFont="1" applyBorder="1" applyAlignment="1">
      <alignment horizontal="center" vertical="top"/>
    </xf>
    <xf numFmtId="0" fontId="1" fillId="0" borderId="46" xfId="0" applyFont="1" applyBorder="1" applyAlignment="1">
      <alignment vertical="top" wrapText="1"/>
    </xf>
    <xf numFmtId="0" fontId="7" fillId="18" borderId="71" xfId="0" applyFont="1" applyFill="1" applyBorder="1" applyAlignment="1">
      <alignment horizontal="center" vertical="top" wrapText="1" readingOrder="1"/>
    </xf>
    <xf numFmtId="0" fontId="7" fillId="18" borderId="10" xfId="0" applyFont="1" applyFill="1" applyBorder="1" applyAlignment="1">
      <alignment horizontal="center" vertical="top" wrapText="1" readingOrder="1"/>
    </xf>
    <xf numFmtId="0" fontId="7" fillId="18" borderId="11" xfId="0" applyFont="1" applyFill="1" applyBorder="1" applyAlignment="1">
      <alignment horizontal="center" vertical="top" wrapText="1" readingOrder="1"/>
    </xf>
    <xf numFmtId="0" fontId="7" fillId="19" borderId="11" xfId="0" applyFont="1" applyFill="1" applyBorder="1" applyAlignment="1">
      <alignment horizontal="center" vertical="top" wrapText="1" readingOrder="1"/>
    </xf>
    <xf numFmtId="0" fontId="9" fillId="0" borderId="76" xfId="0" applyFont="1" applyBorder="1" applyAlignment="1">
      <alignment horizontal="center" vertical="top" wrapText="1" readingOrder="1"/>
    </xf>
    <xf numFmtId="0" fontId="8" fillId="0" borderId="39" xfId="0" applyFont="1" applyBorder="1" applyAlignment="1">
      <alignment horizontal="center" vertical="top" wrapText="1" readingOrder="1"/>
    </xf>
    <xf numFmtId="0" fontId="8" fillId="0" borderId="73" xfId="0" applyFont="1" applyBorder="1" applyAlignment="1">
      <alignment horizontal="center" vertical="top" wrapText="1" readingOrder="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8" fillId="0" borderId="77" xfId="0" applyFont="1" applyBorder="1" applyAlignment="1">
      <alignment horizontal="center" vertical="top" wrapText="1" readingOrder="1"/>
    </xf>
    <xf numFmtId="0" fontId="1" fillId="0" borderId="78" xfId="0" applyFont="1" applyBorder="1" applyAlignment="1">
      <alignment horizontal="center" vertical="top"/>
    </xf>
    <xf numFmtId="0" fontId="7" fillId="20" borderId="71" xfId="0" applyFont="1" applyFill="1" applyBorder="1" applyAlignment="1">
      <alignment horizontal="center" vertical="top" wrapText="1" readingOrder="1"/>
    </xf>
    <xf numFmtId="0" fontId="7" fillId="20" borderId="39" xfId="0" applyFont="1" applyFill="1" applyBorder="1" applyAlignment="1">
      <alignment horizontal="center" vertical="top" wrapText="1" readingOrder="1"/>
    </xf>
    <xf numFmtId="0" fontId="7" fillId="20" borderId="11" xfId="0" applyFont="1" applyFill="1" applyBorder="1" applyAlignment="1">
      <alignment horizontal="center" vertical="top" wrapText="1" readingOrder="1"/>
    </xf>
    <xf numFmtId="0" fontId="10" fillId="0" borderId="39" xfId="0" applyFont="1" applyBorder="1" applyAlignment="1">
      <alignment horizontal="center" vertical="top" wrapText="1" readingOrder="1"/>
    </xf>
    <xf numFmtId="0" fontId="10" fillId="0" borderId="11" xfId="0" applyFont="1" applyBorder="1" applyAlignment="1">
      <alignment horizontal="center" vertical="top" wrapText="1" readingOrder="1"/>
    </xf>
    <xf numFmtId="0" fontId="9" fillId="0" borderId="39" xfId="0" applyFont="1" applyBorder="1" applyAlignment="1">
      <alignment horizontal="center" vertical="top" wrapText="1" readingOrder="1"/>
    </xf>
    <xf numFmtId="0" fontId="7" fillId="0" borderId="11" xfId="0" applyFont="1" applyBorder="1" applyAlignment="1">
      <alignment horizontal="left" vertical="top" wrapText="1" readingOrder="1"/>
    </xf>
    <xf numFmtId="164" fontId="9" fillId="0" borderId="39" xfId="0" applyNumberFormat="1" applyFont="1" applyBorder="1" applyAlignment="1">
      <alignment horizontal="center" vertical="top" wrapText="1" readingOrder="1"/>
    </xf>
    <xf numFmtId="164" fontId="9" fillId="0" borderId="11" xfId="0" applyNumberFormat="1" applyFont="1" applyBorder="1" applyAlignment="1">
      <alignment horizontal="center" vertical="top" wrapText="1" readingOrder="1"/>
    </xf>
    <xf numFmtId="0" fontId="7" fillId="21" borderId="11" xfId="0" applyFont="1" applyFill="1" applyBorder="1" applyAlignment="1">
      <alignment horizontal="center" vertical="top" wrapText="1" readingOrder="1"/>
    </xf>
    <xf numFmtId="0" fontId="9" fillId="6" borderId="39" xfId="0" applyFont="1" applyFill="1" applyBorder="1" applyAlignment="1">
      <alignment horizontal="center" vertical="top" wrapText="1" readingOrder="1"/>
    </xf>
    <xf numFmtId="0" fontId="9" fillId="6" borderId="11" xfId="0" applyFont="1" applyFill="1" applyBorder="1" applyAlignment="1">
      <alignment horizontal="center" vertical="top" wrapText="1" readingOrder="1"/>
    </xf>
    <xf numFmtId="0" fontId="9" fillId="6" borderId="0" xfId="0" applyFont="1" applyFill="1" applyAlignment="1">
      <alignment horizontal="center" vertical="top" wrapText="1" readingOrder="1"/>
    </xf>
    <xf numFmtId="0" fontId="4" fillId="4" borderId="11" xfId="0" applyFont="1" applyFill="1" applyBorder="1" applyAlignment="1">
      <alignment horizontal="left" vertical="top" wrapText="1" readingOrder="1"/>
    </xf>
    <xf numFmtId="0" fontId="9" fillId="6" borderId="76" xfId="0" applyFont="1" applyFill="1" applyBorder="1" applyAlignment="1">
      <alignment horizontal="center" vertical="top" wrapText="1" readingOrder="1"/>
    </xf>
    <xf numFmtId="0" fontId="8" fillId="6" borderId="39" xfId="0" applyFont="1" applyFill="1" applyBorder="1" applyAlignment="1">
      <alignment horizontal="center" vertical="top" wrapText="1" readingOrder="1"/>
    </xf>
    <xf numFmtId="0" fontId="8" fillId="6" borderId="11" xfId="0" applyFont="1" applyFill="1" applyBorder="1" applyAlignment="1">
      <alignment horizontal="center" vertical="top" wrapText="1" readingOrder="1"/>
    </xf>
    <xf numFmtId="0" fontId="7" fillId="9" borderId="19" xfId="0" applyFont="1" applyFill="1" applyBorder="1" applyAlignment="1">
      <alignment horizontal="center" vertical="top" wrapText="1" readingOrder="1"/>
    </xf>
    <xf numFmtId="0" fontId="10" fillId="6" borderId="12" xfId="0" applyFont="1" applyFill="1" applyBorder="1" applyAlignment="1">
      <alignment horizontal="left" vertical="top" wrapText="1" readingOrder="1"/>
    </xf>
    <xf numFmtId="0" fontId="15" fillId="6" borderId="12" xfId="0" applyFont="1" applyFill="1" applyBorder="1" applyAlignment="1">
      <alignment horizontal="left" vertical="top" wrapText="1" readingOrder="1"/>
    </xf>
    <xf numFmtId="0" fontId="17" fillId="6" borderId="19" xfId="0" applyFont="1" applyFill="1" applyBorder="1" applyAlignment="1">
      <alignment horizontal="left" vertical="top" wrapText="1" readingOrder="1"/>
    </xf>
    <xf numFmtId="0" fontId="4" fillId="6" borderId="19" xfId="0" applyFont="1" applyFill="1" applyBorder="1" applyAlignment="1">
      <alignment horizontal="left" vertical="top" wrapText="1" readingOrder="1"/>
    </xf>
    <xf numFmtId="0" fontId="18" fillId="6" borderId="12" xfId="0" applyFont="1" applyFill="1" applyBorder="1" applyAlignment="1">
      <alignment horizontal="left" vertical="top" wrapText="1" readingOrder="1"/>
    </xf>
    <xf numFmtId="0" fontId="10" fillId="6" borderId="12" xfId="0" applyFont="1" applyFill="1" applyBorder="1" applyAlignment="1">
      <alignment vertical="top" wrapText="1" readingOrder="1"/>
    </xf>
    <xf numFmtId="0" fontId="8" fillId="6" borderId="12" xfId="0" applyFont="1" applyFill="1" applyBorder="1" applyAlignment="1">
      <alignment vertical="top" wrapText="1" readingOrder="1"/>
    </xf>
    <xf numFmtId="0" fontId="30" fillId="6" borderId="19" xfId="0" applyFont="1" applyFill="1" applyBorder="1" applyAlignment="1">
      <alignment horizontal="left" vertical="top" wrapText="1" readingOrder="1"/>
    </xf>
    <xf numFmtId="0" fontId="20" fillId="6" borderId="12" xfId="0" applyFont="1" applyFill="1" applyBorder="1" applyAlignment="1">
      <alignment horizontal="left" vertical="top" wrapText="1" readingOrder="1"/>
    </xf>
    <xf numFmtId="0" fontId="4" fillId="0" borderId="19" xfId="0" applyFont="1" applyBorder="1" applyAlignment="1">
      <alignment vertical="top" wrapText="1"/>
    </xf>
    <xf numFmtId="0" fontId="5" fillId="9" borderId="19" xfId="0" applyFont="1" applyFill="1" applyBorder="1" applyAlignment="1">
      <alignment horizontal="center" vertical="top" wrapText="1" readingOrder="1"/>
    </xf>
    <xf numFmtId="0" fontId="4" fillId="0" borderId="41" xfId="0" applyFont="1" applyBorder="1" applyAlignment="1">
      <alignment vertical="top" wrapText="1"/>
    </xf>
    <xf numFmtId="0" fontId="15" fillId="0" borderId="42" xfId="0" applyFont="1" applyBorder="1" applyAlignment="1">
      <alignment vertical="top" wrapText="1"/>
    </xf>
    <xf numFmtId="0" fontId="20" fillId="6" borderId="42" xfId="0" applyFont="1" applyFill="1" applyBorder="1" applyAlignment="1">
      <alignment vertical="top" wrapText="1" readingOrder="1"/>
    </xf>
    <xf numFmtId="0" fontId="15" fillId="6" borderId="42" xfId="0" applyFont="1" applyFill="1" applyBorder="1" applyAlignment="1">
      <alignment horizontal="center" vertical="top" wrapText="1" readingOrder="1"/>
    </xf>
    <xf numFmtId="0" fontId="8" fillId="6" borderId="46" xfId="0" applyFont="1" applyFill="1" applyBorder="1" applyAlignment="1">
      <alignment horizontal="center" vertical="top" wrapText="1" readingOrder="1"/>
    </xf>
    <xf numFmtId="0" fontId="8" fillId="6" borderId="69" xfId="0" applyFont="1" applyFill="1" applyBorder="1" applyAlignment="1">
      <alignment horizontal="center" vertical="top" wrapText="1" readingOrder="1"/>
    </xf>
    <xf numFmtId="0" fontId="7" fillId="9" borderId="71" xfId="0" applyFont="1" applyFill="1" applyBorder="1" applyAlignment="1">
      <alignment horizontal="center" vertical="top" wrapText="1" readingOrder="1"/>
    </xf>
    <xf numFmtId="0" fontId="7" fillId="9" borderId="39" xfId="0" applyFont="1" applyFill="1" applyBorder="1" applyAlignment="1">
      <alignment horizontal="center" vertical="top" wrapText="1" readingOrder="1"/>
    </xf>
    <xf numFmtId="0" fontId="7" fillId="9" borderId="11" xfId="0" applyFont="1" applyFill="1" applyBorder="1" applyAlignment="1">
      <alignment horizontal="center" vertical="top" wrapText="1" readingOrder="1"/>
    </xf>
    <xf numFmtId="0" fontId="10" fillId="0" borderId="76" xfId="0" applyFont="1" applyBorder="1" applyAlignment="1">
      <alignment horizontal="center" vertical="top"/>
    </xf>
    <xf numFmtId="0" fontId="0" fillId="0" borderId="39" xfId="0" applyBorder="1" applyAlignment="1">
      <alignment horizontal="center"/>
    </xf>
    <xf numFmtId="0" fontId="10" fillId="6" borderId="39" xfId="0" applyFont="1" applyFill="1" applyBorder="1" applyAlignment="1">
      <alignment horizontal="center" vertical="top" wrapText="1" readingOrder="1"/>
    </xf>
    <xf numFmtId="0" fontId="10" fillId="6" borderId="11" xfId="0" applyFont="1" applyFill="1" applyBorder="1" applyAlignment="1">
      <alignment horizontal="center" vertical="top" wrapText="1" readingOrder="1"/>
    </xf>
    <xf numFmtId="0" fontId="1" fillId="0" borderId="76" xfId="0" applyFont="1" applyBorder="1" applyAlignment="1">
      <alignment horizontal="center" vertical="top" wrapText="1"/>
    </xf>
    <xf numFmtId="0" fontId="15" fillId="6" borderId="39" xfId="0" applyFont="1" applyFill="1" applyBorder="1" applyAlignment="1">
      <alignment horizontal="center" vertical="top" wrapText="1" readingOrder="1"/>
    </xf>
    <xf numFmtId="0" fontId="15" fillId="6" borderId="11" xfId="0" applyFont="1" applyFill="1" applyBorder="1" applyAlignment="1">
      <alignment horizontal="center" vertical="top" wrapText="1" readingOrder="1"/>
    </xf>
    <xf numFmtId="0" fontId="1" fillId="0" borderId="76" xfId="0" applyFont="1" applyBorder="1" applyAlignment="1">
      <alignment horizontal="center" vertical="top"/>
    </xf>
    <xf numFmtId="0" fontId="18" fillId="0" borderId="39" xfId="0" applyFont="1" applyBorder="1" applyAlignment="1">
      <alignment horizontal="center" vertical="top" wrapText="1" readingOrder="1"/>
    </xf>
    <xf numFmtId="0" fontId="18" fillId="0" borderId="11" xfId="0" applyFont="1" applyBorder="1" applyAlignment="1">
      <alignment horizontal="center" vertical="top" wrapText="1" readingOrder="1"/>
    </xf>
    <xf numFmtId="0" fontId="15" fillId="0" borderId="39" xfId="0" applyFont="1" applyBorder="1" applyAlignment="1">
      <alignment horizontal="center" vertical="top" wrapText="1" readingOrder="1"/>
    </xf>
    <xf numFmtId="0" fontId="15" fillId="0" borderId="11" xfId="0" applyFont="1" applyBorder="1" applyAlignment="1">
      <alignment horizontal="center" vertical="top" wrapText="1" readingOrder="1"/>
    </xf>
    <xf numFmtId="0" fontId="18" fillId="6" borderId="39" xfId="0" applyFont="1" applyFill="1" applyBorder="1" applyAlignment="1">
      <alignment horizontal="center" vertical="top" wrapText="1" readingOrder="1"/>
    </xf>
    <xf numFmtId="0" fontId="18" fillId="6" borderId="11" xfId="0" applyFont="1" applyFill="1" applyBorder="1" applyAlignment="1">
      <alignment horizontal="center" vertical="top" wrapText="1" readingOrder="1"/>
    </xf>
    <xf numFmtId="0" fontId="20" fillId="0" borderId="76" xfId="0" applyFont="1" applyBorder="1" applyAlignment="1">
      <alignment horizontal="center" vertical="top" wrapText="1"/>
    </xf>
    <xf numFmtId="0" fontId="15" fillId="0" borderId="42" xfId="0" applyFont="1" applyBorder="1" applyAlignment="1">
      <alignment horizontal="center" vertical="top" wrapText="1" readingOrder="1"/>
    </xf>
    <xf numFmtId="0" fontId="15" fillId="0" borderId="46" xfId="0" applyFont="1" applyBorder="1" applyAlignment="1">
      <alignment horizontal="center" vertical="top" wrapText="1" readingOrder="1"/>
    </xf>
    <xf numFmtId="0" fontId="15" fillId="0" borderId="69" xfId="0" applyFont="1" applyBorder="1" applyAlignment="1">
      <alignment horizontal="center" vertical="top" wrapText="1" readingOrder="1"/>
    </xf>
    <xf numFmtId="0" fontId="1" fillId="0" borderId="80" xfId="0" applyFont="1" applyBorder="1" applyAlignment="1">
      <alignment horizontal="center" vertical="top"/>
    </xf>
    <xf numFmtId="0" fontId="1" fillId="0" borderId="46" xfId="0" applyFont="1" applyBorder="1" applyAlignment="1">
      <alignment horizontal="center" vertical="top" wrapText="1"/>
    </xf>
    <xf numFmtId="0" fontId="0" fillId="0" borderId="0" xfId="0" applyAlignment="1">
      <alignment horizontal="center" wrapText="1"/>
    </xf>
    <xf numFmtId="0" fontId="1" fillId="0" borderId="23" xfId="0" applyFont="1" applyBorder="1" applyAlignment="1">
      <alignment horizontal="center" vertical="top" wrapText="1"/>
    </xf>
    <xf numFmtId="0" fontId="0" fillId="0" borderId="23" xfId="0" applyBorder="1" applyAlignment="1">
      <alignment horizontal="center" wrapText="1"/>
    </xf>
    <xf numFmtId="0" fontId="1" fillId="0" borderId="47" xfId="0" applyFont="1" applyBorder="1" applyAlignment="1">
      <alignment horizontal="center" vertical="top" wrapText="1"/>
    </xf>
    <xf numFmtId="0" fontId="0" fillId="0" borderId="57" xfId="0" applyBorder="1" applyAlignment="1">
      <alignment horizontal="center" wrapText="1"/>
    </xf>
    <xf numFmtId="0" fontId="9" fillId="0" borderId="7" xfId="0" applyFont="1" applyBorder="1" applyAlignment="1">
      <alignment horizontal="center" vertical="top" wrapText="1"/>
    </xf>
    <xf numFmtId="0" fontId="9" fillId="6" borderId="48" xfId="0" applyFont="1" applyFill="1" applyBorder="1" applyAlignment="1">
      <alignment vertical="top" wrapText="1" readingOrder="1"/>
    </xf>
    <xf numFmtId="0" fontId="9" fillId="6" borderId="81" xfId="0" applyFont="1" applyFill="1" applyBorder="1" applyAlignment="1">
      <alignment vertical="top" wrapText="1" readingOrder="1"/>
    </xf>
    <xf numFmtId="0" fontId="9" fillId="9" borderId="12" xfId="0" applyFont="1" applyFill="1" applyBorder="1" applyAlignment="1">
      <alignment horizontal="left" vertical="top" wrapText="1" readingOrder="1"/>
    </xf>
    <xf numFmtId="0" fontId="9" fillId="6" borderId="49" xfId="0" applyFont="1" applyFill="1" applyBorder="1" applyAlignment="1">
      <alignment vertical="top" wrapText="1" readingOrder="1"/>
    </xf>
    <xf numFmtId="0" fontId="9" fillId="6" borderId="82" xfId="0" applyFont="1" applyFill="1" applyBorder="1" applyAlignment="1">
      <alignment vertical="top" wrapText="1" readingOrder="1"/>
    </xf>
    <xf numFmtId="0" fontId="9" fillId="9" borderId="81" xfId="0" applyFont="1" applyFill="1" applyBorder="1" applyAlignment="1">
      <alignment horizontal="left" vertical="top" wrapText="1" readingOrder="1"/>
    </xf>
    <xf numFmtId="0" fontId="9" fillId="6" borderId="16" xfId="0" applyFont="1" applyFill="1" applyBorder="1" applyAlignment="1">
      <alignment vertical="top" wrapText="1" readingOrder="1"/>
    </xf>
    <xf numFmtId="0" fontId="9" fillId="6" borderId="83" xfId="0" applyFont="1" applyFill="1" applyBorder="1" applyAlignment="1">
      <alignment vertical="top" wrapText="1" readingOrder="1"/>
    </xf>
    <xf numFmtId="0" fontId="9" fillId="9" borderId="16" xfId="0" applyFont="1" applyFill="1" applyBorder="1" applyAlignment="1">
      <alignment horizontal="left" vertical="top" wrapText="1" readingOrder="1"/>
    </xf>
    <xf numFmtId="0" fontId="0" fillId="0" borderId="29" xfId="0" applyBorder="1" applyAlignment="1">
      <alignment horizontal="center" wrapText="1"/>
    </xf>
    <xf numFmtId="0" fontId="9" fillId="9" borderId="12" xfId="0" applyFont="1" applyFill="1" applyBorder="1" applyAlignment="1">
      <alignment vertical="top" wrapText="1" readingOrder="1"/>
    </xf>
    <xf numFmtId="0" fontId="29" fillId="9" borderId="7" xfId="0" applyFont="1" applyFill="1" applyBorder="1" applyAlignment="1">
      <alignment horizontal="center" vertical="top" wrapText="1" readingOrder="1"/>
    </xf>
    <xf numFmtId="1" fontId="9" fillId="9" borderId="12" xfId="0" applyNumberFormat="1" applyFont="1" applyFill="1" applyBorder="1" applyAlignment="1">
      <alignment vertical="top" wrapText="1" readingOrder="1"/>
    </xf>
    <xf numFmtId="0" fontId="9" fillId="0" borderId="7" xfId="0" applyFont="1" applyBorder="1" applyAlignment="1">
      <alignment vertical="top" wrapText="1"/>
    </xf>
    <xf numFmtId="0" fontId="9" fillId="0" borderId="12" xfId="0" applyFont="1" applyBorder="1" applyAlignment="1">
      <alignment vertical="top" wrapText="1"/>
    </xf>
    <xf numFmtId="0" fontId="9" fillId="0" borderId="58" xfId="0" applyFont="1" applyBorder="1" applyAlignment="1">
      <alignment horizontal="center" vertical="top" wrapText="1"/>
    </xf>
    <xf numFmtId="0" fontId="9" fillId="0" borderId="43" xfId="0" applyFont="1" applyBorder="1" applyAlignment="1">
      <alignment horizontal="center" vertical="top" wrapText="1"/>
    </xf>
    <xf numFmtId="0" fontId="9" fillId="0" borderId="59" xfId="0" applyFont="1" applyBorder="1" applyAlignment="1">
      <alignment horizontal="center" vertical="top" wrapText="1"/>
    </xf>
    <xf numFmtId="0" fontId="9" fillId="0" borderId="60" xfId="0" applyFont="1" applyBorder="1" applyAlignment="1">
      <alignment horizontal="center" vertical="top" wrapText="1"/>
    </xf>
    <xf numFmtId="0" fontId="9" fillId="0" borderId="13" xfId="0" applyFont="1" applyBorder="1" applyAlignment="1">
      <alignment vertical="top" wrapText="1"/>
    </xf>
    <xf numFmtId="0" fontId="9" fillId="0" borderId="14" xfId="0" applyFont="1" applyBorder="1" applyAlignment="1">
      <alignment vertical="top" wrapText="1"/>
    </xf>
    <xf numFmtId="0" fontId="9" fillId="9" borderId="14" xfId="0" applyFont="1" applyFill="1" applyBorder="1" applyAlignment="1">
      <alignment vertical="top" wrapText="1" readingOrder="1"/>
    </xf>
    <xf numFmtId="0" fontId="31" fillId="0" borderId="0" xfId="0" applyFont="1" applyAlignment="1">
      <alignment horizontal="right"/>
    </xf>
    <xf numFmtId="0" fontId="32" fillId="0" borderId="0" xfId="0" applyFont="1" applyAlignment="1">
      <alignment horizontal="left"/>
    </xf>
    <xf numFmtId="0" fontId="9" fillId="11" borderId="12" xfId="0" applyFont="1" applyFill="1" applyBorder="1" applyAlignment="1">
      <alignment horizontal="left" vertical="top" wrapText="1" readingOrder="1"/>
    </xf>
    <xf numFmtId="0" fontId="29" fillId="4" borderId="54" xfId="0" applyFont="1" applyFill="1" applyBorder="1" applyAlignment="1">
      <alignment vertical="top" wrapText="1" readingOrder="1"/>
    </xf>
    <xf numFmtId="0" fontId="9" fillId="0" borderId="54" xfId="0" applyFont="1" applyBorder="1" applyAlignment="1">
      <alignment vertical="top" wrapText="1" readingOrder="1"/>
    </xf>
    <xf numFmtId="0" fontId="9" fillId="11" borderId="12" xfId="0" applyFont="1" applyFill="1" applyBorder="1" applyAlignment="1">
      <alignment vertical="top" wrapText="1" readingOrder="1"/>
    </xf>
    <xf numFmtId="0" fontId="29" fillId="10" borderId="54" xfId="0" applyFont="1" applyFill="1" applyBorder="1" applyAlignment="1">
      <alignment vertical="top" wrapText="1" readingOrder="1"/>
    </xf>
    <xf numFmtId="0" fontId="9" fillId="11" borderId="14" xfId="0" applyFont="1" applyFill="1" applyBorder="1" applyAlignment="1">
      <alignment vertical="top" wrapText="1" readingOrder="1"/>
    </xf>
    <xf numFmtId="0" fontId="9" fillId="6" borderId="14" xfId="0" applyFont="1" applyFill="1" applyBorder="1" applyAlignment="1">
      <alignment horizontal="center" vertical="top" wrapText="1" readingOrder="1"/>
    </xf>
    <xf numFmtId="0" fontId="9" fillId="0" borderId="14" xfId="0" applyFont="1" applyBorder="1" applyAlignment="1">
      <alignment horizontal="center" vertical="top" wrapText="1" readingOrder="1"/>
    </xf>
    <xf numFmtId="0" fontId="9" fillId="0" borderId="32" xfId="0" applyFont="1" applyBorder="1" applyAlignment="1">
      <alignment horizontal="center" vertical="top" wrapText="1" readingOrder="1"/>
    </xf>
    <xf numFmtId="0" fontId="9" fillId="0" borderId="55" xfId="0" applyFont="1" applyBorder="1" applyAlignment="1">
      <alignment vertical="top" wrapText="1" readingOrder="1"/>
    </xf>
    <xf numFmtId="0" fontId="2" fillId="0" borderId="0" xfId="0" applyFont="1" applyAlignment="1">
      <alignment horizontal="center" vertical="top" wrapText="1"/>
    </xf>
    <xf numFmtId="0" fontId="29" fillId="0" borderId="3" xfId="0"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29" fillId="0" borderId="3" xfId="0" applyFont="1" applyBorder="1" applyAlignment="1">
      <alignment vertical="top" wrapText="1"/>
    </xf>
    <xf numFmtId="0" fontId="9" fillId="0" borderId="0" xfId="0" applyFont="1" applyAlignment="1">
      <alignment horizontal="center" vertical="top" wrapText="1"/>
    </xf>
    <xf numFmtId="0" fontId="29" fillId="0" borderId="3" xfId="0" applyFont="1" applyBorder="1" applyAlignment="1">
      <alignment horizontal="left" vertical="top"/>
    </xf>
    <xf numFmtId="0" fontId="9" fillId="0" borderId="19" xfId="0" applyFont="1" applyBorder="1" applyAlignment="1">
      <alignment horizontal="center" vertical="top" wrapText="1"/>
    </xf>
    <xf numFmtId="0" fontId="9" fillId="0" borderId="39" xfId="0" applyFont="1" applyBorder="1" applyAlignment="1">
      <alignment horizontal="center" vertical="top"/>
    </xf>
    <xf numFmtId="0" fontId="9" fillId="0" borderId="81" xfId="0" applyFont="1" applyBorder="1" applyAlignment="1">
      <alignment vertical="top" wrapText="1" readingOrder="1"/>
    </xf>
    <xf numFmtId="0" fontId="9" fillId="3" borderId="12" xfId="0" applyFont="1" applyFill="1" applyBorder="1" applyAlignment="1">
      <alignment horizontal="left" vertical="top" wrapText="1" readingOrder="1"/>
    </xf>
    <xf numFmtId="0" fontId="9" fillId="0" borderId="82" xfId="0" applyFont="1" applyBorder="1" applyAlignment="1">
      <alignment vertical="top" wrapText="1" readingOrder="1"/>
    </xf>
    <xf numFmtId="0" fontId="9" fillId="0" borderId="83" xfId="0" applyFont="1" applyBorder="1" applyAlignment="1">
      <alignment vertical="top" wrapText="1" readingOrder="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78" xfId="0" applyFont="1" applyBorder="1" applyAlignment="1">
      <alignment horizontal="center" vertical="top"/>
    </xf>
    <xf numFmtId="0" fontId="9" fillId="0" borderId="84" xfId="0" applyFont="1" applyBorder="1" applyAlignment="1">
      <alignment horizontal="center" vertical="top" wrapText="1"/>
    </xf>
    <xf numFmtId="0" fontId="9" fillId="0" borderId="85" xfId="0" applyFont="1" applyBorder="1" applyAlignment="1">
      <alignment horizontal="center" vertical="top" wrapText="1"/>
    </xf>
    <xf numFmtId="0" fontId="9" fillId="0" borderId="54" xfId="0" applyFont="1" applyBorder="1" applyAlignment="1">
      <alignment horizontal="center" vertical="top"/>
    </xf>
    <xf numFmtId="0" fontId="9" fillId="0" borderId="85" xfId="0" applyFont="1" applyBorder="1" applyAlignment="1">
      <alignment horizontal="left" vertical="top" wrapText="1" readingOrder="1"/>
    </xf>
    <xf numFmtId="0" fontId="9" fillId="0" borderId="85" xfId="0" applyFont="1" applyBorder="1" applyAlignment="1">
      <alignment vertical="top" wrapText="1" readingOrder="1"/>
    </xf>
    <xf numFmtId="0" fontId="9" fillId="3" borderId="85" xfId="0" applyFont="1" applyFill="1" applyBorder="1" applyAlignment="1">
      <alignment horizontal="left" vertical="top" wrapText="1" readingOrder="1"/>
    </xf>
    <xf numFmtId="0" fontId="9" fillId="0" borderId="88" xfId="0" applyFont="1" applyBorder="1" applyAlignment="1">
      <alignment horizontal="left" vertical="top" wrapText="1" readingOrder="1"/>
    </xf>
    <xf numFmtId="0" fontId="34" fillId="3" borderId="85" xfId="0" applyFont="1" applyFill="1" applyBorder="1" applyAlignment="1">
      <alignment horizontal="left" vertical="top" wrapText="1" readingOrder="1"/>
    </xf>
    <xf numFmtId="0" fontId="9" fillId="0" borderId="16" xfId="0" applyFont="1" applyBorder="1" applyAlignment="1">
      <alignment horizontal="center" vertical="top" wrapText="1"/>
    </xf>
    <xf numFmtId="0" fontId="9" fillId="0" borderId="89" xfId="0" applyFont="1" applyBorder="1" applyAlignment="1">
      <alignment horizontal="left" vertical="top" wrapText="1" readingOrder="1"/>
    </xf>
    <xf numFmtId="0" fontId="34" fillId="3" borderId="88" xfId="0" applyFont="1" applyFill="1" applyBorder="1" applyAlignment="1">
      <alignment horizontal="left" vertical="top" wrapText="1" readingOrder="1"/>
    </xf>
    <xf numFmtId="0" fontId="9" fillId="0" borderId="86" xfId="0" applyFont="1" applyBorder="1" applyAlignment="1">
      <alignment vertical="top" wrapText="1"/>
    </xf>
    <xf numFmtId="0" fontId="9" fillId="0" borderId="85" xfId="0" applyFont="1" applyBorder="1" applyAlignment="1">
      <alignment vertical="top" wrapText="1"/>
    </xf>
    <xf numFmtId="0" fontId="9" fillId="3" borderId="88" xfId="0" applyFont="1" applyFill="1" applyBorder="1" applyAlignment="1">
      <alignment horizontal="left" vertical="top" wrapText="1" readingOrder="1"/>
    </xf>
    <xf numFmtId="0" fontId="9" fillId="0" borderId="88" xfId="0" applyFont="1" applyBorder="1" applyAlignment="1">
      <alignment vertical="top" wrapText="1"/>
    </xf>
    <xf numFmtId="0" fontId="9" fillId="0" borderId="85" xfId="0" applyFont="1" applyBorder="1" applyAlignment="1">
      <alignment vertical="top"/>
    </xf>
    <xf numFmtId="0" fontId="9" fillId="0" borderId="19" xfId="0" applyFont="1" applyBorder="1" applyAlignment="1">
      <alignment horizontal="center" vertical="top"/>
    </xf>
    <xf numFmtId="0" fontId="7" fillId="3" borderId="15" xfId="0" applyFont="1" applyFill="1" applyBorder="1" applyAlignment="1">
      <alignment horizontal="center" vertical="top" wrapText="1" readingOrder="1"/>
    </xf>
    <xf numFmtId="0" fontId="35" fillId="6" borderId="12" xfId="0" applyFont="1" applyFill="1" applyBorder="1" applyAlignment="1">
      <alignment horizontal="left" vertical="top" wrapText="1" readingOrder="1"/>
    </xf>
    <xf numFmtId="0" fontId="1" fillId="3" borderId="12" xfId="0" applyFont="1" applyFill="1" applyBorder="1" applyAlignment="1">
      <alignment vertical="top" wrapText="1" readingOrder="1"/>
    </xf>
    <xf numFmtId="0" fontId="8" fillId="6" borderId="81" xfId="0" applyFont="1" applyFill="1" applyBorder="1" applyAlignment="1">
      <alignment vertical="top" wrapText="1" readingOrder="1"/>
    </xf>
    <xf numFmtId="0" fontId="9" fillId="3" borderId="12" xfId="0" applyFont="1" applyFill="1" applyBorder="1" applyAlignment="1">
      <alignment vertical="top" wrapText="1" readingOrder="1"/>
    </xf>
    <xf numFmtId="0" fontId="8" fillId="6" borderId="16" xfId="0" applyFont="1" applyFill="1" applyBorder="1" applyAlignment="1">
      <alignment horizontal="center" vertical="top" wrapText="1" readingOrder="1"/>
    </xf>
    <xf numFmtId="0" fontId="8" fillId="6" borderId="16" xfId="0" applyFont="1" applyFill="1" applyBorder="1" applyAlignment="1">
      <alignment vertical="top" wrapText="1" readingOrder="1"/>
    </xf>
    <xf numFmtId="0" fontId="9" fillId="0" borderId="81" xfId="0" applyFont="1" applyBorder="1" applyAlignment="1">
      <alignment horizontal="left" vertical="top" wrapText="1" readingOrder="1"/>
    </xf>
    <xf numFmtId="0" fontId="9" fillId="0" borderId="90" xfId="0" applyFont="1" applyBorder="1" applyAlignment="1">
      <alignment horizontal="center" vertical="top"/>
    </xf>
    <xf numFmtId="0" fontId="9" fillId="0" borderId="81" xfId="0" applyFont="1" applyBorder="1" applyAlignment="1">
      <alignment horizontal="center" vertical="top" wrapText="1"/>
    </xf>
    <xf numFmtId="0" fontId="9" fillId="0" borderId="91" xfId="0" applyFont="1" applyBorder="1" applyAlignment="1">
      <alignment horizontal="center" vertical="top"/>
    </xf>
    <xf numFmtId="0" fontId="9" fillId="0" borderId="92" xfId="0" applyFont="1" applyBorder="1" applyAlignment="1">
      <alignment horizontal="center" vertical="top" wrapText="1"/>
    </xf>
    <xf numFmtId="0" fontId="9" fillId="6" borderId="84" xfId="0" applyFont="1" applyFill="1" applyBorder="1" applyAlignment="1">
      <alignment horizontal="left" vertical="top" wrapText="1" readingOrder="1"/>
    </xf>
    <xf numFmtId="0" fontId="9" fillId="6" borderId="85" xfId="0" applyFont="1" applyFill="1" applyBorder="1" applyAlignment="1">
      <alignment horizontal="left" vertical="top" wrapText="1" readingOrder="1"/>
    </xf>
    <xf numFmtId="0" fontId="9" fillId="0" borderId="15" xfId="0" applyFont="1" applyBorder="1" applyAlignment="1">
      <alignment horizontal="center" vertical="top" wrapText="1"/>
    </xf>
    <xf numFmtId="0" fontId="9" fillId="0" borderId="37" xfId="0" applyFont="1" applyBorder="1" applyAlignment="1">
      <alignment horizontal="center" vertical="top"/>
    </xf>
    <xf numFmtId="0" fontId="9" fillId="0" borderId="39" xfId="0" applyFont="1" applyBorder="1" applyAlignment="1">
      <alignment vertical="top" wrapText="1"/>
    </xf>
    <xf numFmtId="0" fontId="9" fillId="0" borderId="39" xfId="0" applyFont="1" applyBorder="1" applyAlignment="1">
      <alignment horizontal="center" vertical="top" wrapText="1"/>
    </xf>
    <xf numFmtId="0" fontId="9" fillId="0" borderId="10" xfId="0" applyFont="1" applyBorder="1" applyAlignment="1">
      <alignment horizontal="left" vertical="top" wrapText="1" readingOrder="1"/>
    </xf>
    <xf numFmtId="0" fontId="9" fillId="22" borderId="12" xfId="0" applyFont="1" applyFill="1" applyBorder="1" applyAlignment="1">
      <alignment vertical="top" wrapText="1" readingOrder="1"/>
    </xf>
    <xf numFmtId="0" fontId="7" fillId="0" borderId="93" xfId="0" applyFont="1" applyBorder="1" applyAlignment="1">
      <alignment horizontal="left" vertical="top" wrapText="1" readingOrder="1"/>
    </xf>
    <xf numFmtId="0" fontId="9" fillId="11" borderId="85" xfId="0" applyFont="1" applyFill="1" applyBorder="1" applyAlignment="1">
      <alignment horizontal="left" vertical="top" wrapText="1" readingOrder="1"/>
    </xf>
    <xf numFmtId="0" fontId="9" fillId="0" borderId="85" xfId="0" applyFont="1" applyBorder="1" applyAlignment="1">
      <alignment horizontal="center" vertical="top" wrapText="1" readingOrder="1"/>
    </xf>
    <xf numFmtId="1" fontId="9" fillId="0" borderId="85" xfId="0" applyNumberFormat="1" applyFont="1" applyBorder="1" applyAlignment="1">
      <alignment horizontal="center" vertical="top" wrapText="1" readingOrder="1"/>
    </xf>
    <xf numFmtId="0" fontId="9" fillId="0" borderId="94" xfId="0" applyFont="1" applyBorder="1" applyAlignment="1">
      <alignment horizontal="left" vertical="top" wrapText="1" readingOrder="1"/>
    </xf>
    <xf numFmtId="164" fontId="9" fillId="0" borderId="85" xfId="0" applyNumberFormat="1" applyFont="1" applyBorder="1" applyAlignment="1">
      <alignment horizontal="center" vertical="top" wrapText="1" readingOrder="1"/>
    </xf>
    <xf numFmtId="0" fontId="35" fillId="11" borderId="85" xfId="0" applyFont="1" applyFill="1" applyBorder="1" applyAlignment="1">
      <alignment horizontal="left" vertical="top" wrapText="1" readingOrder="1"/>
    </xf>
    <xf numFmtId="0" fontId="9" fillId="11" borderId="88" xfId="0" applyFont="1" applyFill="1" applyBorder="1" applyAlignment="1">
      <alignment horizontal="left" vertical="top" wrapText="1" readingOrder="1"/>
    </xf>
    <xf numFmtId="0" fontId="9" fillId="0" borderId="88" xfId="0" applyFont="1" applyBorder="1" applyAlignment="1">
      <alignment horizontal="center" vertical="top" wrapText="1" readingOrder="1"/>
    </xf>
    <xf numFmtId="0" fontId="9" fillId="0" borderId="95" xfId="0" applyFont="1" applyBorder="1" applyAlignment="1">
      <alignment horizontal="left" vertical="top" wrapText="1" readingOrder="1"/>
    </xf>
    <xf numFmtId="1" fontId="9" fillId="0" borderId="88" xfId="0" applyNumberFormat="1" applyFont="1" applyBorder="1" applyAlignment="1">
      <alignment horizontal="center" vertical="top" wrapText="1" readingOrder="1"/>
    </xf>
    <xf numFmtId="0" fontId="4" fillId="4" borderId="97" xfId="0" applyFont="1" applyFill="1" applyBorder="1" applyAlignment="1">
      <alignment horizontal="left" vertical="top" wrapText="1" readingOrder="1"/>
    </xf>
    <xf numFmtId="0" fontId="9" fillId="6" borderId="85" xfId="0" applyFont="1" applyFill="1" applyBorder="1" applyAlignment="1">
      <alignment horizontal="center" vertical="top" wrapText="1" readingOrder="1"/>
    </xf>
    <xf numFmtId="0" fontId="10" fillId="6" borderId="85" xfId="0" applyFont="1" applyFill="1" applyBorder="1" applyAlignment="1">
      <alignment horizontal="left" vertical="top" wrapText="1" readingOrder="1"/>
    </xf>
    <xf numFmtId="0" fontId="7" fillId="4" borderId="95" xfId="0" applyFont="1" applyFill="1" applyBorder="1" applyAlignment="1">
      <alignment horizontal="left" vertical="top" wrapText="1" readingOrder="1"/>
    </xf>
    <xf numFmtId="0" fontId="29" fillId="4" borderId="11" xfId="0" applyFont="1" applyFill="1" applyBorder="1" applyAlignment="1">
      <alignment vertical="top" wrapText="1" readingOrder="1"/>
    </xf>
    <xf numFmtId="0" fontId="9" fillId="0" borderId="98" xfId="0" applyFont="1" applyBorder="1" applyAlignment="1">
      <alignment horizontal="center" vertical="top" wrapText="1" readingOrder="1"/>
    </xf>
    <xf numFmtId="0" fontId="8" fillId="0" borderId="11" xfId="0" applyFont="1" applyBorder="1" applyAlignment="1">
      <alignment vertical="top" wrapText="1" readingOrder="1"/>
    </xf>
    <xf numFmtId="0" fontId="9" fillId="0" borderId="23" xfId="0" applyFont="1" applyBorder="1" applyAlignment="1">
      <alignment horizontal="center" vertical="top" wrapText="1"/>
    </xf>
    <xf numFmtId="0" fontId="9" fillId="0" borderId="90" xfId="0" applyFont="1" applyBorder="1" applyAlignment="1">
      <alignment horizontal="center" vertical="top" wrapText="1"/>
    </xf>
    <xf numFmtId="0" fontId="9" fillId="6" borderId="90" xfId="0" applyFont="1" applyFill="1" applyBorder="1" applyAlignment="1">
      <alignment horizontal="left" vertical="top" wrapText="1" readingOrder="1"/>
    </xf>
    <xf numFmtId="0" fontId="9" fillId="6" borderId="81" xfId="0" applyFont="1" applyFill="1" applyBorder="1" applyAlignment="1">
      <alignment horizontal="left" vertical="top" wrapText="1" readingOrder="1"/>
    </xf>
    <xf numFmtId="0" fontId="8" fillId="6" borderId="81" xfId="0" applyFont="1" applyFill="1" applyBorder="1" applyAlignment="1">
      <alignment horizontal="left" vertical="top" wrapText="1" readingOrder="1"/>
    </xf>
    <xf numFmtId="0" fontId="9" fillId="3" borderId="81" xfId="0" applyFont="1" applyFill="1" applyBorder="1" applyAlignment="1">
      <alignment vertical="top" wrapText="1" readingOrder="1"/>
    </xf>
    <xf numFmtId="0" fontId="9" fillId="6" borderId="50" xfId="0" applyFont="1" applyFill="1" applyBorder="1" applyAlignment="1">
      <alignment vertical="top" wrapText="1" readingOrder="1"/>
    </xf>
    <xf numFmtId="0" fontId="9" fillId="3" borderId="16" xfId="0" applyFont="1" applyFill="1" applyBorder="1" applyAlignment="1">
      <alignment vertical="top" wrapText="1" readingOrder="1"/>
    </xf>
    <xf numFmtId="0" fontId="9" fillId="0" borderId="34" xfId="0" applyFont="1" applyBorder="1" applyAlignment="1">
      <alignment horizontal="center" vertical="top" wrapText="1"/>
    </xf>
    <xf numFmtId="0" fontId="9" fillId="0" borderId="14" xfId="0" applyFont="1" applyBorder="1" applyAlignment="1">
      <alignment horizontal="center" vertical="top" wrapText="1"/>
    </xf>
    <xf numFmtId="0" fontId="9" fillId="0" borderId="99" xfId="0" applyFont="1" applyBorder="1" applyAlignment="1">
      <alignment horizontal="center" vertical="top"/>
    </xf>
    <xf numFmtId="0" fontId="9" fillId="6" borderId="14" xfId="0" applyFont="1" applyFill="1" applyBorder="1" applyAlignment="1">
      <alignment vertical="top" wrapText="1" readingOrder="1"/>
    </xf>
    <xf numFmtId="0" fontId="9" fillId="0" borderId="14" xfId="0" applyFont="1" applyBorder="1" applyAlignment="1">
      <alignment horizontal="left" vertical="top" wrapText="1" readingOrder="1"/>
    </xf>
    <xf numFmtId="0" fontId="8" fillId="0" borderId="14" xfId="0" applyFont="1" applyBorder="1" applyAlignment="1">
      <alignment horizontal="left" vertical="top" wrapText="1" readingOrder="1"/>
    </xf>
    <xf numFmtId="0" fontId="9" fillId="3" borderId="14" xfId="0" applyFont="1" applyFill="1" applyBorder="1" applyAlignment="1">
      <alignment vertical="top" wrapText="1" readingOrder="1"/>
    </xf>
    <xf numFmtId="3" fontId="1" fillId="0" borderId="0" xfId="0" applyNumberFormat="1" applyFont="1" applyAlignment="1">
      <alignment horizontal="center" vertical="top" wrapText="1"/>
    </xf>
    <xf numFmtId="0" fontId="13" fillId="21" borderId="0" xfId="0" applyFont="1" applyFill="1" applyAlignment="1">
      <alignment horizontal="right" vertical="top"/>
    </xf>
    <xf numFmtId="0" fontId="13" fillId="21" borderId="0" xfId="0" applyFont="1" applyFill="1" applyAlignment="1">
      <alignment horizontal="left" vertical="top"/>
    </xf>
    <xf numFmtId="0" fontId="9" fillId="11" borderId="81" xfId="0" applyFont="1" applyFill="1" applyBorder="1" applyAlignment="1">
      <alignment vertical="top" wrapText="1" readingOrder="1"/>
    </xf>
    <xf numFmtId="0" fontId="9" fillId="6" borderId="81" xfId="0" applyFont="1" applyFill="1" applyBorder="1" applyAlignment="1">
      <alignment horizontal="center" vertical="top" wrapText="1" readingOrder="1"/>
    </xf>
    <xf numFmtId="0" fontId="9" fillId="6" borderId="96" xfId="0" applyFont="1" applyFill="1" applyBorder="1" applyAlignment="1">
      <alignment horizontal="center" vertical="top" wrapText="1" readingOrder="1"/>
    </xf>
    <xf numFmtId="0" fontId="9" fillId="6" borderId="97" xfId="0" applyFont="1" applyFill="1" applyBorder="1" applyAlignment="1">
      <alignment horizontal="left" vertical="top" wrapText="1" readingOrder="1"/>
    </xf>
    <xf numFmtId="0" fontId="9" fillId="11" borderId="16" xfId="0" applyFont="1" applyFill="1" applyBorder="1" applyAlignment="1">
      <alignment vertical="top" wrapText="1" readingOrder="1"/>
    </xf>
    <xf numFmtId="0" fontId="8" fillId="6" borderId="8" xfId="0" applyFont="1" applyFill="1" applyBorder="1" applyAlignment="1">
      <alignment horizontal="center" vertical="top" wrapText="1" readingOrder="1"/>
    </xf>
    <xf numFmtId="0" fontId="9" fillId="6" borderId="95" xfId="0" applyFont="1" applyFill="1" applyBorder="1" applyAlignment="1">
      <alignment horizontal="left" vertical="top" wrapText="1" readingOrder="1"/>
    </xf>
    <xf numFmtId="0" fontId="9" fillId="6" borderId="32" xfId="0" applyFont="1" applyFill="1" applyBorder="1" applyAlignment="1">
      <alignment horizontal="center" vertical="top" wrapText="1" readingOrder="1"/>
    </xf>
    <xf numFmtId="0" fontId="9" fillId="6" borderId="101" xfId="0" applyFont="1" applyFill="1" applyBorder="1" applyAlignment="1">
      <alignment horizontal="left" vertical="top" wrapText="1" readingOrder="1"/>
    </xf>
    <xf numFmtId="0" fontId="0" fillId="0" borderId="0" xfId="0" applyAlignment="1">
      <alignment horizontal="center" vertical="top"/>
    </xf>
    <xf numFmtId="0" fontId="0" fillId="0" borderId="0" xfId="0" applyAlignment="1">
      <alignment vertical="top"/>
    </xf>
    <xf numFmtId="0" fontId="9" fillId="0" borderId="0" xfId="0" applyFont="1" applyAlignment="1">
      <alignment vertical="top" wrapText="1"/>
    </xf>
    <xf numFmtId="0" fontId="9" fillId="0" borderId="0" xfId="0" applyFont="1" applyAlignment="1">
      <alignment vertical="top"/>
    </xf>
    <xf numFmtId="0" fontId="1" fillId="0" borderId="0" xfId="0" applyFont="1" applyAlignment="1">
      <alignment vertical="top" wrapText="1"/>
    </xf>
    <xf numFmtId="3" fontId="13" fillId="0" borderId="0" xfId="0" applyNumberFormat="1" applyFont="1" applyAlignment="1">
      <alignment horizontal="center" vertical="top"/>
    </xf>
    <xf numFmtId="3" fontId="13" fillId="0" borderId="23" xfId="0" applyNumberFormat="1" applyFont="1" applyBorder="1" applyAlignment="1">
      <alignment horizontal="center" vertical="top"/>
    </xf>
    <xf numFmtId="0" fontId="13" fillId="0" borderId="3" xfId="0" applyFont="1" applyBorder="1" applyAlignment="1">
      <alignment vertical="top"/>
    </xf>
    <xf numFmtId="0" fontId="1" fillId="0" borderId="17" xfId="0" applyFont="1" applyBorder="1" applyAlignment="1">
      <alignment horizontal="left" vertical="top" wrapText="1" readingOrder="1"/>
    </xf>
    <xf numFmtId="0" fontId="1" fillId="0" borderId="18" xfId="0" applyFont="1" applyBorder="1" applyAlignment="1">
      <alignment horizontal="left" vertical="top" wrapText="1" readingOrder="1"/>
    </xf>
    <xf numFmtId="0" fontId="1" fillId="0" borderId="12" xfId="0" applyFont="1" applyBorder="1" applyAlignment="1">
      <alignment horizontal="left" vertical="top" wrapText="1" readingOrder="1"/>
    </xf>
    <xf numFmtId="0" fontId="1" fillId="24" borderId="12" xfId="0" applyFont="1" applyFill="1" applyBorder="1" applyAlignment="1">
      <alignment horizontal="left" vertical="top" wrapText="1" readingOrder="1"/>
    </xf>
    <xf numFmtId="0" fontId="9" fillId="24" borderId="12" xfId="0" applyFont="1" applyFill="1" applyBorder="1" applyAlignment="1">
      <alignment horizontal="left" vertical="top" wrapText="1" readingOrder="1"/>
    </xf>
    <xf numFmtId="0" fontId="3" fillId="18" borderId="19" xfId="0" applyFont="1" applyFill="1" applyBorder="1" applyAlignment="1">
      <alignment horizontal="center" vertical="top" wrapText="1" readingOrder="1"/>
    </xf>
    <xf numFmtId="0" fontId="1" fillId="0" borderId="15" xfId="0" applyFont="1" applyBorder="1" applyAlignment="1">
      <alignment horizontal="left" vertical="top" wrapText="1" readingOrder="1"/>
    </xf>
    <xf numFmtId="0" fontId="1" fillId="0" borderId="16" xfId="0" applyFont="1" applyBorder="1" applyAlignment="1">
      <alignment horizontal="left" vertical="top" wrapText="1" readingOrder="1"/>
    </xf>
    <xf numFmtId="0" fontId="1" fillId="24" borderId="104" xfId="0" applyFont="1" applyFill="1" applyBorder="1" applyAlignment="1">
      <alignment horizontal="left" vertical="top" wrapText="1" readingOrder="1"/>
    </xf>
    <xf numFmtId="0" fontId="29" fillId="19" borderId="9" xfId="0" applyFont="1" applyFill="1" applyBorder="1" applyAlignment="1">
      <alignment horizontal="center" vertical="top" wrapText="1" readingOrder="1"/>
    </xf>
    <xf numFmtId="0" fontId="3" fillId="4" borderId="11" xfId="0" applyFont="1" applyFill="1" applyBorder="1" applyAlignment="1">
      <alignment horizontal="left" vertical="top" wrapText="1" readingOrder="1"/>
    </xf>
    <xf numFmtId="0" fontId="1" fillId="0" borderId="90" xfId="0" applyFont="1" applyBorder="1" applyAlignment="1">
      <alignment horizontal="center" vertical="top" wrapText="1"/>
    </xf>
    <xf numFmtId="0" fontId="1" fillId="0" borderId="81" xfId="0" applyFont="1" applyBorder="1" applyAlignment="1">
      <alignment horizontal="center" vertical="top" wrapText="1"/>
    </xf>
    <xf numFmtId="0" fontId="1" fillId="0" borderId="91" xfId="0" applyFont="1" applyBorder="1" applyAlignment="1">
      <alignment horizontal="center" vertical="top"/>
    </xf>
    <xf numFmtId="0" fontId="9" fillId="0" borderId="90" xfId="0" applyFont="1" applyBorder="1" applyAlignment="1">
      <alignment horizontal="left" vertical="top" wrapText="1" readingOrder="1"/>
    </xf>
    <xf numFmtId="0" fontId="8" fillId="0" borderId="81" xfId="0" applyFont="1" applyBorder="1" applyAlignment="1">
      <alignment horizontal="left" vertical="top" wrapText="1" readingOrder="1"/>
    </xf>
    <xf numFmtId="0" fontId="8" fillId="24" borderId="12" xfId="0" applyFont="1" applyFill="1" applyBorder="1" applyAlignment="1">
      <alignment horizontal="left" vertical="top" wrapText="1" readingOrder="1"/>
    </xf>
    <xf numFmtId="0" fontId="1" fillId="0" borderId="105" xfId="0" applyFont="1" applyBorder="1" applyAlignment="1">
      <alignment horizontal="center" vertical="top" wrapText="1"/>
    </xf>
    <xf numFmtId="0" fontId="1" fillId="0" borderId="83" xfId="0" applyFont="1" applyBorder="1" applyAlignment="1">
      <alignment horizontal="center" vertical="top" wrapText="1"/>
    </xf>
    <xf numFmtId="0" fontId="1" fillId="0" borderId="37" xfId="0" applyFont="1" applyBorder="1" applyAlignment="1">
      <alignment horizontal="center" vertical="top" wrapText="1"/>
    </xf>
    <xf numFmtId="0" fontId="9" fillId="0" borderId="106" xfId="0" applyFont="1" applyBorder="1" applyAlignment="1">
      <alignment horizontal="left" vertical="top" wrapText="1" readingOrder="1"/>
    </xf>
    <xf numFmtId="0" fontId="9" fillId="0" borderId="82" xfId="0" applyFont="1" applyBorder="1" applyAlignment="1">
      <alignment horizontal="left" vertical="top" wrapText="1" readingOrder="1"/>
    </xf>
    <xf numFmtId="0" fontId="8" fillId="0" borderId="82" xfId="0" applyFont="1" applyBorder="1" applyAlignment="1">
      <alignment horizontal="left" vertical="top" wrapText="1" readingOrder="1"/>
    </xf>
    <xf numFmtId="0" fontId="1" fillId="24" borderId="82" xfId="0" applyFont="1" applyFill="1" applyBorder="1" applyAlignment="1">
      <alignment horizontal="left" vertical="top" wrapText="1" readingOrder="1"/>
    </xf>
    <xf numFmtId="0" fontId="1" fillId="0" borderId="21" xfId="0" applyFont="1" applyBorder="1" applyAlignment="1">
      <alignment horizontal="center" vertical="top" wrapText="1"/>
    </xf>
    <xf numFmtId="0" fontId="1" fillId="0" borderId="50" xfId="0" applyFont="1" applyBorder="1" applyAlignment="1">
      <alignment horizontal="center" vertical="top" wrapText="1"/>
    </xf>
    <xf numFmtId="0" fontId="9" fillId="0" borderId="105" xfId="0" applyFont="1" applyBorder="1" applyAlignment="1">
      <alignment horizontal="left" vertical="top" wrapText="1" readingOrder="1"/>
    </xf>
    <xf numFmtId="0" fontId="9" fillId="0" borderId="83" xfId="0" applyFont="1" applyBorder="1" applyAlignment="1">
      <alignment horizontal="left" vertical="top" wrapText="1" readingOrder="1"/>
    </xf>
    <xf numFmtId="0" fontId="8" fillId="0" borderId="83" xfId="0" applyFont="1" applyBorder="1" applyAlignment="1">
      <alignment horizontal="left" vertical="top" wrapText="1" readingOrder="1"/>
    </xf>
    <xf numFmtId="0" fontId="8" fillId="24" borderId="83" xfId="0" applyFont="1" applyFill="1" applyBorder="1" applyAlignment="1">
      <alignment horizontal="left" vertical="top" wrapText="1" readingOrder="1"/>
    </xf>
    <xf numFmtId="0" fontId="1" fillId="0" borderId="34" xfId="0" applyFont="1" applyBorder="1" applyAlignment="1">
      <alignment horizontal="center" vertical="top" wrapText="1"/>
    </xf>
    <xf numFmtId="0" fontId="1" fillId="0" borderId="14" xfId="0" applyFont="1" applyBorder="1" applyAlignment="1">
      <alignment horizontal="center" vertical="top" wrapText="1"/>
    </xf>
    <xf numFmtId="0" fontId="1" fillId="0" borderId="99" xfId="0" applyFont="1" applyBorder="1" applyAlignment="1">
      <alignment horizontal="center" vertical="top" wrapText="1"/>
    </xf>
    <xf numFmtId="0" fontId="8" fillId="0" borderId="64" xfId="0" applyFont="1" applyBorder="1" applyAlignment="1">
      <alignment horizontal="left" vertical="top" wrapText="1" readingOrder="1"/>
    </xf>
    <xf numFmtId="0" fontId="8" fillId="24" borderId="107" xfId="0" applyFont="1" applyFill="1" applyBorder="1" applyAlignment="1">
      <alignment horizontal="left" vertical="top" wrapText="1" readingOrder="1"/>
    </xf>
    <xf numFmtId="0" fontId="13" fillId="24" borderId="0" xfId="0" applyFont="1" applyFill="1" applyAlignment="1">
      <alignment horizontal="right" vertical="top"/>
    </xf>
    <xf numFmtId="0" fontId="13" fillId="24" borderId="0" xfId="0" applyFont="1" applyFill="1" applyAlignment="1">
      <alignment horizontal="left" vertical="top"/>
    </xf>
    <xf numFmtId="3" fontId="13" fillId="0" borderId="0" xfId="0" applyNumberFormat="1" applyFont="1" applyAlignment="1">
      <alignment vertical="top"/>
    </xf>
    <xf numFmtId="4" fontId="13" fillId="0" borderId="0" xfId="0" applyNumberFormat="1" applyFont="1" applyAlignment="1">
      <alignment vertical="top"/>
    </xf>
    <xf numFmtId="0" fontId="1" fillId="11" borderId="12" xfId="0" applyFont="1" applyFill="1" applyBorder="1" applyAlignment="1">
      <alignment horizontal="left" vertical="top" wrapText="1" readingOrder="1"/>
    </xf>
    <xf numFmtId="0" fontId="9" fillId="0" borderId="109" xfId="0" applyFont="1" applyBorder="1" applyAlignment="1">
      <alignment horizontal="left" vertical="top" wrapText="1" readingOrder="1"/>
    </xf>
    <xf numFmtId="0" fontId="1" fillId="11" borderId="110" xfId="0" applyFont="1" applyFill="1" applyBorder="1" applyAlignment="1">
      <alignment horizontal="left" vertical="top" wrapText="1" readingOrder="1"/>
    </xf>
    <xf numFmtId="0" fontId="1" fillId="0" borderId="88" xfId="0" applyFont="1" applyBorder="1" applyAlignment="1">
      <alignment horizontal="center" vertical="top" wrapText="1" readingOrder="1"/>
    </xf>
    <xf numFmtId="0" fontId="7" fillId="19" borderId="9" xfId="0" applyFont="1" applyFill="1" applyBorder="1" applyAlignment="1">
      <alignment horizontal="center" vertical="top" wrapText="1" readingOrder="1"/>
    </xf>
    <xf numFmtId="0" fontId="8" fillId="11" borderId="12" xfId="0" applyFont="1" applyFill="1" applyBorder="1" applyAlignment="1">
      <alignment horizontal="left" vertical="top" wrapText="1" readingOrder="1"/>
    </xf>
    <xf numFmtId="0" fontId="9" fillId="0" borderId="81" xfId="0" applyFont="1" applyBorder="1" applyAlignment="1">
      <alignment horizontal="center" vertical="top" wrapText="1" readingOrder="1"/>
    </xf>
    <xf numFmtId="0" fontId="9" fillId="0" borderId="96" xfId="0" applyFont="1" applyBorder="1" applyAlignment="1">
      <alignment horizontal="center" vertical="top" wrapText="1" readingOrder="1"/>
    </xf>
    <xf numFmtId="0" fontId="10" fillId="0" borderId="81" xfId="0" applyFont="1" applyBorder="1" applyAlignment="1">
      <alignment horizontal="center" vertical="top" wrapText="1" readingOrder="1"/>
    </xf>
    <xf numFmtId="0" fontId="10" fillId="0" borderId="16" xfId="0" applyFont="1" applyBorder="1" applyAlignment="1">
      <alignment horizontal="center" vertical="top" wrapText="1" readingOrder="1"/>
    </xf>
    <xf numFmtId="0" fontId="8" fillId="0" borderId="16" xfId="0" applyFont="1" applyBorder="1" applyAlignment="1">
      <alignment horizontal="center" vertical="top" wrapText="1" readingOrder="1"/>
    </xf>
    <xf numFmtId="0" fontId="8" fillId="11" borderId="14" xfId="0" applyFont="1" applyFill="1" applyBorder="1" applyAlignment="1">
      <alignment horizontal="left" vertical="top" wrapText="1" readingOrder="1"/>
    </xf>
    <xf numFmtId="0" fontId="8" fillId="0" borderId="14" xfId="0" applyFont="1" applyBorder="1" applyAlignment="1">
      <alignment horizontal="center" vertical="top" wrapText="1" readingOrder="1"/>
    </xf>
    <xf numFmtId="0" fontId="8" fillId="0" borderId="32" xfId="0" applyFont="1" applyBorder="1" applyAlignment="1">
      <alignment horizontal="center" vertical="top" wrapText="1" readingOrder="1"/>
    </xf>
    <xf numFmtId="0" fontId="8" fillId="0" borderId="111" xfId="0" applyFont="1" applyBorder="1" applyAlignment="1">
      <alignment horizontal="left" vertical="top" wrapText="1" readingOrder="1"/>
    </xf>
    <xf numFmtId="0" fontId="9" fillId="0" borderId="0" xfId="0" applyFont="1" applyAlignment="1">
      <alignment horizontal="center" vertical="top"/>
    </xf>
    <xf numFmtId="0" fontId="9" fillId="0" borderId="23" xfId="0" applyFont="1" applyBorder="1" applyAlignment="1">
      <alignment horizontal="center" vertical="top"/>
    </xf>
    <xf numFmtId="0" fontId="10" fillId="0" borderId="0" xfId="0" applyFont="1" applyAlignment="1">
      <alignment vertical="top"/>
    </xf>
    <xf numFmtId="0" fontId="1" fillId="0" borderId="9" xfId="0" applyFont="1" applyBorder="1" applyAlignment="1">
      <alignment vertical="top"/>
    </xf>
    <xf numFmtId="0" fontId="36" fillId="0" borderId="0" xfId="0" applyFont="1" applyAlignment="1">
      <alignment horizontal="center" vertical="top" wrapText="1"/>
    </xf>
    <xf numFmtId="0" fontId="36" fillId="0" borderId="0" xfId="0" applyFont="1" applyAlignment="1">
      <alignment vertical="top" wrapText="1"/>
    </xf>
    <xf numFmtId="0" fontId="0" fillId="0" borderId="0" xfId="0" applyAlignment="1">
      <alignment vertical="top" wrapText="1"/>
    </xf>
    <xf numFmtId="3" fontId="0" fillId="0" borderId="0" xfId="0" applyNumberFormat="1" applyAlignment="1">
      <alignment vertical="top"/>
    </xf>
    <xf numFmtId="0" fontId="8" fillId="0" borderId="0" xfId="0" applyFont="1" applyAlignment="1">
      <alignment horizontal="center" vertical="top" wrapText="1"/>
    </xf>
    <xf numFmtId="0" fontId="8" fillId="0" borderId="0" xfId="0" applyFont="1" applyAlignment="1">
      <alignment horizontal="left" vertical="top" wrapText="1"/>
    </xf>
    <xf numFmtId="0" fontId="8" fillId="0" borderId="0" xfId="0" applyFont="1" applyAlignment="1">
      <alignment vertical="top" wrapText="1"/>
    </xf>
    <xf numFmtId="0" fontId="1" fillId="0" borderId="23" xfId="0" applyFont="1" applyBorder="1" applyAlignment="1">
      <alignment vertical="top" wrapText="1"/>
    </xf>
    <xf numFmtId="0" fontId="7" fillId="16" borderId="113" xfId="0" applyFont="1" applyFill="1" applyBorder="1" applyAlignment="1">
      <alignment horizontal="center" vertical="top" wrapText="1" readingOrder="1"/>
    </xf>
    <xf numFmtId="0" fontId="7" fillId="16" borderId="116" xfId="0" applyFont="1" applyFill="1" applyBorder="1" applyAlignment="1">
      <alignment horizontal="center" vertical="top" wrapText="1" readingOrder="1"/>
    </xf>
    <xf numFmtId="0" fontId="7" fillId="16" borderId="14" xfId="0" applyFont="1" applyFill="1" applyBorder="1" applyAlignment="1">
      <alignment horizontal="center" vertical="top" wrapText="1" readingOrder="1"/>
    </xf>
    <xf numFmtId="0" fontId="9" fillId="22" borderId="12" xfId="0" applyFont="1" applyFill="1" applyBorder="1" applyAlignment="1">
      <alignment horizontal="left" vertical="top" wrapText="1" readingOrder="1"/>
    </xf>
    <xf numFmtId="0" fontId="8" fillId="22" borderId="12" xfId="0" applyFont="1" applyFill="1" applyBorder="1" applyAlignment="1">
      <alignment horizontal="left" vertical="top" wrapText="1" readingOrder="1"/>
    </xf>
    <xf numFmtId="0" fontId="39" fillId="0" borderId="12" xfId="0" applyFont="1" applyBorder="1" applyAlignment="1">
      <alignment horizontal="left" vertical="top" wrapText="1" readingOrder="1"/>
    </xf>
    <xf numFmtId="0" fontId="10" fillId="22" borderId="12" xfId="0" applyFont="1" applyFill="1" applyBorder="1" applyAlignment="1">
      <alignment horizontal="left" vertical="top" wrapText="1" readingOrder="1"/>
    </xf>
    <xf numFmtId="0" fontId="29" fillId="16" borderId="19" xfId="0" applyFont="1" applyFill="1" applyBorder="1" applyAlignment="1">
      <alignment horizontal="center" vertical="top" wrapText="1" readingOrder="1"/>
    </xf>
    <xf numFmtId="0" fontId="8" fillId="0" borderId="18" xfId="0" applyFont="1" applyBorder="1" applyAlignment="1">
      <alignment vertical="top" wrapText="1" readingOrder="1"/>
    </xf>
    <xf numFmtId="0" fontId="9" fillId="0" borderId="66" xfId="0" applyFont="1" applyBorder="1" applyAlignment="1">
      <alignment vertical="top" wrapText="1" readingOrder="1"/>
    </xf>
    <xf numFmtId="0" fontId="32" fillId="0" borderId="12" xfId="0" applyFont="1" applyBorder="1" applyAlignment="1">
      <alignment vertical="top" wrapText="1" readingOrder="1"/>
    </xf>
    <xf numFmtId="0" fontId="9" fillId="0" borderId="119" xfId="0" applyFont="1" applyBorder="1" applyAlignment="1">
      <alignment horizontal="left" vertical="top" wrapText="1" readingOrder="1"/>
    </xf>
    <xf numFmtId="0" fontId="9" fillId="0" borderId="43" xfId="0" applyFont="1" applyBorder="1" applyAlignment="1">
      <alignment horizontal="left" vertical="top" wrapText="1" readingOrder="1"/>
    </xf>
    <xf numFmtId="0" fontId="8" fillId="22" borderId="12" xfId="0" applyFont="1" applyFill="1" applyBorder="1" applyAlignment="1">
      <alignment vertical="top" wrapText="1" readingOrder="1"/>
    </xf>
    <xf numFmtId="0" fontId="9" fillId="22" borderId="10" xfId="0" applyFont="1" applyFill="1" applyBorder="1" applyAlignment="1">
      <alignment vertical="top" wrapText="1" readingOrder="1"/>
    </xf>
    <xf numFmtId="0" fontId="34" fillId="22" borderId="12" xfId="0" applyFont="1" applyFill="1" applyBorder="1" applyAlignment="1">
      <alignment vertical="top" wrapText="1" readingOrder="1"/>
    </xf>
    <xf numFmtId="0" fontId="10" fillId="0" borderId="20" xfId="0" applyFont="1" applyBorder="1" applyAlignment="1">
      <alignment horizontal="center" vertical="top" wrapText="1"/>
    </xf>
    <xf numFmtId="0" fontId="9" fillId="0" borderId="120" xfId="0" applyFont="1" applyBorder="1" applyAlignment="1">
      <alignment horizontal="center" vertical="top" wrapText="1"/>
    </xf>
    <xf numFmtId="0" fontId="9" fillId="0" borderId="109" xfId="0" applyFont="1" applyBorder="1" applyAlignment="1">
      <alignment horizontal="center" vertical="top" wrapText="1"/>
    </xf>
    <xf numFmtId="0" fontId="9" fillId="0" borderId="99" xfId="0" applyFont="1" applyBorder="1" applyAlignment="1">
      <alignment horizontal="center" vertical="top" wrapText="1"/>
    </xf>
    <xf numFmtId="0" fontId="9" fillId="0" borderId="34" xfId="0" applyFont="1" applyBorder="1" applyAlignment="1">
      <alignment horizontal="left" vertical="top" wrapText="1" readingOrder="1"/>
    </xf>
    <xf numFmtId="0" fontId="34" fillId="22" borderId="14" xfId="0" applyFont="1" applyFill="1" applyBorder="1" applyAlignment="1">
      <alignment vertical="top" wrapText="1" readingOrder="1"/>
    </xf>
    <xf numFmtId="3" fontId="40" fillId="0" borderId="0" xfId="0" applyNumberFormat="1" applyFont="1" applyAlignment="1">
      <alignment horizontal="center" vertical="top" wrapText="1"/>
    </xf>
    <xf numFmtId="3" fontId="40" fillId="0" borderId="0" xfId="0" applyNumberFormat="1" applyFont="1" applyAlignment="1">
      <alignment vertical="top" wrapText="1"/>
    </xf>
    <xf numFmtId="3" fontId="13" fillId="0" borderId="0" xfId="0" applyNumberFormat="1" applyFont="1" applyAlignment="1">
      <alignment vertical="top" wrapText="1"/>
    </xf>
    <xf numFmtId="0" fontId="13" fillId="22" borderId="0" xfId="0" applyFont="1" applyFill="1" applyAlignment="1">
      <alignment horizontal="right" vertical="top"/>
    </xf>
    <xf numFmtId="0" fontId="13" fillId="22" borderId="0" xfId="0" applyFont="1" applyFill="1" applyAlignment="1">
      <alignment horizontal="left" vertical="top"/>
    </xf>
    <xf numFmtId="3" fontId="1" fillId="0" borderId="0" xfId="0" applyNumberFormat="1" applyFont="1" applyAlignment="1">
      <alignment vertical="top" wrapText="1"/>
    </xf>
    <xf numFmtId="0" fontId="7" fillId="17" borderId="53" xfId="0" applyFont="1" applyFill="1" applyBorder="1" applyAlignment="1">
      <alignment vertical="top" wrapText="1" readingOrder="1"/>
    </xf>
    <xf numFmtId="0" fontId="7" fillId="16" borderId="32" xfId="0" applyFont="1" applyFill="1" applyBorder="1" applyAlignment="1">
      <alignment horizontal="center" vertical="top" wrapText="1" readingOrder="1"/>
    </xf>
    <xf numFmtId="0" fontId="7" fillId="4" borderId="9" xfId="0" applyFont="1" applyFill="1" applyBorder="1" applyAlignment="1">
      <alignment vertical="top" wrapText="1" readingOrder="1"/>
    </xf>
    <xf numFmtId="0" fontId="8" fillId="0" borderId="85" xfId="0" applyFont="1" applyBorder="1" applyAlignment="1">
      <alignment horizontal="center" vertical="top" wrapText="1" readingOrder="1"/>
    </xf>
    <xf numFmtId="0" fontId="41" fillId="11" borderId="12" xfId="0" applyFont="1" applyFill="1" applyBorder="1" applyAlignment="1">
      <alignment horizontal="left" vertical="top" wrapText="1" readingOrder="1"/>
    </xf>
    <xf numFmtId="0" fontId="7" fillId="4" borderId="11" xfId="0" applyFont="1" applyFill="1" applyBorder="1" applyAlignment="1">
      <alignment vertical="top" wrapText="1" readingOrder="1"/>
    </xf>
    <xf numFmtId="0" fontId="7" fillId="17" borderId="11" xfId="0" applyFont="1" applyFill="1" applyBorder="1" applyAlignment="1">
      <alignment vertical="top" wrapText="1" readingOrder="1"/>
    </xf>
    <xf numFmtId="0" fontId="8" fillId="11" borderId="12" xfId="0" applyFont="1" applyFill="1" applyBorder="1" applyAlignment="1">
      <alignment vertical="top" wrapText="1" readingOrder="1"/>
    </xf>
    <xf numFmtId="0" fontId="9" fillId="11" borderId="18" xfId="0" applyFont="1" applyFill="1" applyBorder="1" applyAlignment="1">
      <alignment vertical="top" wrapText="1" readingOrder="1"/>
    </xf>
    <xf numFmtId="0" fontId="9" fillId="0" borderId="73" xfId="0" applyFont="1" applyBorder="1" applyAlignment="1">
      <alignment vertical="top" wrapText="1" readingOrder="1"/>
    </xf>
    <xf numFmtId="0" fontId="9" fillId="11" borderId="10" xfId="0" applyFont="1" applyFill="1" applyBorder="1" applyAlignment="1">
      <alignment vertical="top" wrapText="1" readingOrder="1"/>
    </xf>
    <xf numFmtId="0" fontId="9" fillId="0" borderId="16" xfId="0" applyFont="1" applyBorder="1" applyAlignment="1">
      <alignment horizontal="center" vertical="top" wrapText="1" readingOrder="1"/>
    </xf>
    <xf numFmtId="0" fontId="9" fillId="0" borderId="8" xfId="0" applyFont="1" applyBorder="1" applyAlignment="1">
      <alignment horizontal="center" vertical="top" wrapText="1" readingOrder="1"/>
    </xf>
    <xf numFmtId="0" fontId="9" fillId="0" borderId="124" xfId="0" applyFont="1" applyBorder="1" applyAlignment="1">
      <alignment vertical="top" wrapText="1" readingOrder="1"/>
    </xf>
    <xf numFmtId="0" fontId="41" fillId="11" borderId="12" xfId="0" applyFont="1" applyFill="1" applyBorder="1" applyAlignment="1">
      <alignment vertical="top" wrapText="1" readingOrder="1"/>
    </xf>
    <xf numFmtId="0" fontId="9" fillId="0" borderId="50" xfId="0" applyFont="1" applyBorder="1" applyAlignment="1">
      <alignment horizontal="center" vertical="top" wrapText="1" readingOrder="1"/>
    </xf>
    <xf numFmtId="0" fontId="9" fillId="0" borderId="67" xfId="0" applyFont="1" applyBorder="1" applyAlignment="1">
      <alignment horizontal="center" vertical="top" wrapText="1" readingOrder="1"/>
    </xf>
    <xf numFmtId="0" fontId="9" fillId="0" borderId="125" xfId="0" applyFont="1" applyBorder="1" applyAlignment="1">
      <alignment vertical="top" wrapText="1" readingOrder="1"/>
    </xf>
    <xf numFmtId="0" fontId="35" fillId="11" borderId="12" xfId="0" applyFont="1" applyFill="1" applyBorder="1" applyAlignment="1">
      <alignment vertical="top" wrapText="1" readingOrder="1"/>
    </xf>
    <xf numFmtId="0" fontId="41" fillId="11" borderId="14" xfId="0" applyFont="1" applyFill="1" applyBorder="1" applyAlignment="1">
      <alignment horizontal="left" vertical="top" wrapText="1" readingOrder="1"/>
    </xf>
    <xf numFmtId="0" fontId="9" fillId="0" borderId="126" xfId="0" applyFont="1" applyBorder="1" applyAlignment="1">
      <alignment horizontal="center" vertical="top" wrapText="1" readingOrder="1"/>
    </xf>
    <xf numFmtId="0" fontId="9" fillId="0" borderId="127" xfId="0" applyFont="1" applyBorder="1" applyAlignment="1">
      <alignment vertical="top" wrapText="1" readingOrder="1"/>
    </xf>
    <xf numFmtId="0" fontId="10" fillId="0" borderId="120" xfId="0" applyFont="1" applyBorder="1" applyAlignment="1">
      <alignment horizontal="center" vertical="top" wrapText="1"/>
    </xf>
    <xf numFmtId="0" fontId="10" fillId="0" borderId="109" xfId="0" applyFont="1" applyBorder="1" applyAlignment="1">
      <alignment horizontal="center" vertical="top" wrapText="1"/>
    </xf>
    <xf numFmtId="0" fontId="42" fillId="0" borderId="0" xfId="0" applyFont="1" applyAlignment="1">
      <alignment horizontal="center" vertical="top"/>
    </xf>
    <xf numFmtId="0" fontId="43" fillId="0" borderId="0" xfId="0" applyFont="1" applyAlignment="1">
      <alignment horizontal="center" vertical="top" wrapText="1"/>
    </xf>
    <xf numFmtId="0" fontId="0" fillId="0" borderId="0" xfId="0" applyAlignment="1">
      <alignment horizontal="left" vertical="top"/>
    </xf>
    <xf numFmtId="0" fontId="44" fillId="0" borderId="0" xfId="0" applyFont="1" applyAlignment="1">
      <alignment horizontal="center" vertical="top"/>
    </xf>
    <xf numFmtId="0" fontId="44" fillId="0" borderId="0" xfId="0" applyFont="1" applyAlignment="1">
      <alignment horizontal="center" vertical="top" wrapText="1"/>
    </xf>
    <xf numFmtId="0" fontId="7" fillId="13" borderId="116" xfId="0" applyFont="1" applyFill="1" applyBorder="1" applyAlignment="1">
      <alignment horizontal="center" vertical="top" wrapText="1" readingOrder="1"/>
    </xf>
    <xf numFmtId="0" fontId="7" fillId="13" borderId="14" xfId="0" applyFont="1" applyFill="1" applyBorder="1" applyAlignment="1">
      <alignment horizontal="center" vertical="top" wrapText="1" readingOrder="1"/>
    </xf>
    <xf numFmtId="3" fontId="10" fillId="0" borderId="15" xfId="0" applyNumberFormat="1" applyFont="1" applyBorder="1" applyAlignment="1">
      <alignment horizontal="center" vertical="top"/>
    </xf>
    <xf numFmtId="3" fontId="10" fillId="0" borderId="16" xfId="0" applyNumberFormat="1" applyFont="1" applyBorder="1" applyAlignment="1">
      <alignment horizontal="center" vertical="top" wrapText="1"/>
    </xf>
    <xf numFmtId="3" fontId="10" fillId="0" borderId="37" xfId="0" applyNumberFormat="1" applyFont="1" applyBorder="1" applyAlignment="1">
      <alignment horizontal="center" vertical="top"/>
    </xf>
    <xf numFmtId="3" fontId="9" fillId="0" borderId="12" xfId="0" applyNumberFormat="1" applyFont="1" applyBorder="1" applyAlignment="1">
      <alignment horizontal="center" vertical="top" wrapText="1"/>
    </xf>
    <xf numFmtId="0" fontId="9" fillId="0" borderId="17" xfId="0" applyFont="1" applyBorder="1" applyAlignment="1">
      <alignment vertical="top" wrapText="1" readingOrder="1"/>
    </xf>
    <xf numFmtId="0" fontId="9" fillId="13" borderId="18" xfId="0" applyFont="1" applyFill="1" applyBorder="1" applyAlignment="1">
      <alignment vertical="top" wrapText="1" readingOrder="1"/>
    </xf>
    <xf numFmtId="0" fontId="9" fillId="0" borderId="21" xfId="0" applyFont="1" applyBorder="1" applyAlignment="1">
      <alignment vertical="top" wrapText="1" readingOrder="1"/>
    </xf>
    <xf numFmtId="0" fontId="8" fillId="0" borderId="50" xfId="0" applyFont="1" applyBorder="1" applyAlignment="1">
      <alignment vertical="top" wrapText="1" readingOrder="1"/>
    </xf>
    <xf numFmtId="0" fontId="9" fillId="0" borderId="106" xfId="0" applyFont="1" applyBorder="1" applyAlignment="1">
      <alignment vertical="top" wrapText="1" readingOrder="1"/>
    </xf>
    <xf numFmtId="0" fontId="8" fillId="0" borderId="82" xfId="0" applyFont="1" applyBorder="1" applyAlignment="1">
      <alignment vertical="top" wrapText="1" readingOrder="1"/>
    </xf>
    <xf numFmtId="0" fontId="9" fillId="0" borderId="105" xfId="0" applyFont="1" applyBorder="1" applyAlignment="1">
      <alignment vertical="top" wrapText="1" readingOrder="1"/>
    </xf>
    <xf numFmtId="0" fontId="9" fillId="27" borderId="18" xfId="0" applyFont="1" applyFill="1" applyBorder="1" applyAlignment="1">
      <alignment vertical="top" wrapText="1" readingOrder="1"/>
    </xf>
    <xf numFmtId="0" fontId="34" fillId="13" borderId="18" xfId="0" applyFont="1" applyFill="1" applyBorder="1" applyAlignment="1">
      <alignment vertical="top" wrapText="1" readingOrder="1"/>
    </xf>
    <xf numFmtId="0" fontId="9" fillId="13" borderId="12" xfId="0" applyFont="1" applyFill="1" applyBorder="1" applyAlignment="1">
      <alignment vertical="top" wrapText="1" readingOrder="1"/>
    </xf>
    <xf numFmtId="0" fontId="35" fillId="0" borderId="12" xfId="0" applyFont="1" applyBorder="1" applyAlignment="1">
      <alignment horizontal="left" vertical="top" wrapText="1" readingOrder="1"/>
    </xf>
    <xf numFmtId="0" fontId="9" fillId="13" borderId="12" xfId="0" applyFont="1" applyFill="1" applyBorder="1" applyAlignment="1">
      <alignment horizontal="left" vertical="top" wrapText="1" readingOrder="1"/>
    </xf>
    <xf numFmtId="3" fontId="10" fillId="0" borderId="19" xfId="0" applyNumberFormat="1" applyFont="1" applyBorder="1" applyAlignment="1">
      <alignment horizontal="center" vertical="top"/>
    </xf>
    <xf numFmtId="3" fontId="10" fillId="0" borderId="12" xfId="0" applyNumberFormat="1" applyFont="1" applyBorder="1" applyAlignment="1">
      <alignment horizontal="center" vertical="top" wrapText="1"/>
    </xf>
    <xf numFmtId="0" fontId="9" fillId="0" borderId="18" xfId="0" applyFont="1" applyBorder="1" applyAlignment="1">
      <alignment vertical="top" wrapText="1"/>
    </xf>
    <xf numFmtId="0" fontId="9" fillId="0" borderId="50" xfId="0" applyFont="1" applyBorder="1" applyAlignment="1">
      <alignment vertical="top" wrapText="1"/>
    </xf>
    <xf numFmtId="0" fontId="1" fillId="0" borderId="12" xfId="0" applyFont="1" applyBorder="1" applyAlignment="1">
      <alignment vertical="top" wrapText="1" readingOrder="1"/>
    </xf>
    <xf numFmtId="0" fontId="8" fillId="13" borderId="12" xfId="0" applyFont="1" applyFill="1" applyBorder="1" applyAlignment="1">
      <alignment horizontal="left" vertical="top" wrapText="1" readingOrder="1"/>
    </xf>
    <xf numFmtId="0" fontId="34" fillId="13" borderId="12" xfId="0" applyFont="1" applyFill="1" applyBorder="1" applyAlignment="1">
      <alignment vertical="top" wrapText="1" readingOrder="1"/>
    </xf>
    <xf numFmtId="3" fontId="1" fillId="0" borderId="19" xfId="0" applyNumberFormat="1" applyFont="1" applyBorder="1" applyAlignment="1">
      <alignment horizontal="center" vertical="top"/>
    </xf>
    <xf numFmtId="3" fontId="1" fillId="0" borderId="12" xfId="0" applyNumberFormat="1" applyFont="1" applyBorder="1" applyAlignment="1">
      <alignment horizontal="center" vertical="top" wrapText="1"/>
    </xf>
    <xf numFmtId="3" fontId="1" fillId="0" borderId="39" xfId="0" applyNumberFormat="1" applyFont="1" applyBorder="1" applyAlignment="1">
      <alignment horizontal="center" vertical="top"/>
    </xf>
    <xf numFmtId="0" fontId="21" fillId="13" borderId="12" xfId="0" applyFont="1" applyFill="1" applyBorder="1" applyAlignment="1">
      <alignment horizontal="left" vertical="top" wrapText="1" readingOrder="1"/>
    </xf>
    <xf numFmtId="0" fontId="9" fillId="0" borderId="19" xfId="0" applyFont="1" applyBorder="1" applyAlignment="1">
      <alignment vertical="top" wrapText="1" readingOrder="1"/>
    </xf>
    <xf numFmtId="0" fontId="9" fillId="5" borderId="19" xfId="0" applyFont="1" applyFill="1" applyBorder="1" applyAlignment="1">
      <alignment vertical="top" wrapText="1" readingOrder="1"/>
    </xf>
    <xf numFmtId="3" fontId="9" fillId="0" borderId="90" xfId="0" applyNumberFormat="1" applyFont="1" applyBorder="1" applyAlignment="1">
      <alignment horizontal="center" vertical="top" wrapText="1"/>
    </xf>
    <xf numFmtId="3" fontId="9" fillId="0" borderId="81" xfId="0" applyNumberFormat="1" applyFont="1" applyBorder="1" applyAlignment="1">
      <alignment horizontal="center" vertical="top" wrapText="1"/>
    </xf>
    <xf numFmtId="3" fontId="9" fillId="0" borderId="91" xfId="0" applyNumberFormat="1" applyFont="1" applyBorder="1" applyAlignment="1">
      <alignment horizontal="center" vertical="top"/>
    </xf>
    <xf numFmtId="0" fontId="1" fillId="13" borderId="81" xfId="0" applyFont="1" applyFill="1" applyBorder="1" applyAlignment="1">
      <alignment vertical="top" wrapText="1" readingOrder="1"/>
    </xf>
    <xf numFmtId="3" fontId="28" fillId="0" borderId="106" xfId="0" applyNumberFormat="1" applyFont="1" applyBorder="1" applyAlignment="1">
      <alignment horizontal="center" vertical="top" wrapText="1"/>
    </xf>
    <xf numFmtId="3" fontId="9" fillId="0" borderId="82" xfId="0" applyNumberFormat="1" applyFont="1" applyBorder="1" applyAlignment="1">
      <alignment horizontal="center" vertical="top" wrapText="1"/>
    </xf>
    <xf numFmtId="3" fontId="9" fillId="0" borderId="132" xfId="0" applyNumberFormat="1" applyFont="1" applyBorder="1" applyAlignment="1">
      <alignment horizontal="center" vertical="top"/>
    </xf>
    <xf numFmtId="0" fontId="1" fillId="13" borderId="81" xfId="0" applyFont="1" applyFill="1" applyBorder="1" applyAlignment="1">
      <alignment horizontal="left" vertical="top" wrapText="1" readingOrder="1"/>
    </xf>
    <xf numFmtId="3" fontId="9" fillId="0" borderId="100" xfId="0" applyNumberFormat="1" applyFont="1" applyBorder="1" applyAlignment="1">
      <alignment horizontal="center" vertical="top" wrapText="1"/>
    </xf>
    <xf numFmtId="3" fontId="9" fillId="0" borderId="107" xfId="0" applyNumberFormat="1" applyFont="1" applyBorder="1" applyAlignment="1">
      <alignment horizontal="center" vertical="top" wrapText="1"/>
    </xf>
    <xf numFmtId="3" fontId="9" fillId="0" borderId="133" xfId="0" applyNumberFormat="1" applyFont="1" applyBorder="1" applyAlignment="1">
      <alignment horizontal="center" vertical="top"/>
    </xf>
    <xf numFmtId="0" fontId="9" fillId="0" borderId="100" xfId="0" applyFont="1" applyBorder="1" applyAlignment="1">
      <alignment vertical="top" wrapText="1" readingOrder="1"/>
    </xf>
    <xf numFmtId="0" fontId="9" fillId="0" borderId="107" xfId="0" applyFont="1" applyBorder="1" applyAlignment="1">
      <alignment vertical="top" wrapText="1" readingOrder="1"/>
    </xf>
    <xf numFmtId="0" fontId="9" fillId="0" borderId="107" xfId="0" applyFont="1" applyBorder="1" applyAlignment="1">
      <alignment horizontal="left" vertical="top" wrapText="1" readingOrder="1"/>
    </xf>
    <xf numFmtId="0" fontId="10" fillId="13" borderId="107" xfId="0" applyFont="1" applyFill="1" applyBorder="1" applyAlignment="1">
      <alignment vertical="top" wrapText="1" readingOrder="1"/>
    </xf>
    <xf numFmtId="3" fontId="44" fillId="0" borderId="0" xfId="0" applyNumberFormat="1" applyFont="1" applyAlignment="1">
      <alignment horizontal="center" vertical="top"/>
    </xf>
    <xf numFmtId="3" fontId="8" fillId="0" borderId="0" xfId="0" applyNumberFormat="1" applyFont="1" applyAlignment="1">
      <alignment horizontal="center" vertical="top" wrapText="1"/>
    </xf>
    <xf numFmtId="0" fontId="13" fillId="13" borderId="0" xfId="0" applyFont="1" applyFill="1" applyAlignment="1">
      <alignment horizontal="right" vertical="top"/>
    </xf>
    <xf numFmtId="0" fontId="13" fillId="13" borderId="0" xfId="0" applyFont="1" applyFill="1" applyAlignment="1">
      <alignment horizontal="left" vertical="top"/>
    </xf>
    <xf numFmtId="0" fontId="7" fillId="14" borderId="53" xfId="0" applyFont="1" applyFill="1" applyBorder="1" applyAlignment="1">
      <alignment horizontal="left" vertical="top" wrapText="1" readingOrder="1"/>
    </xf>
    <xf numFmtId="0" fontId="7" fillId="13" borderId="32" xfId="0" applyFont="1" applyFill="1" applyBorder="1" applyAlignment="1">
      <alignment horizontal="center" vertical="top" wrapText="1" readingOrder="1"/>
    </xf>
    <xf numFmtId="0" fontId="7" fillId="13" borderId="134" xfId="0" applyFont="1" applyFill="1" applyBorder="1" applyAlignment="1">
      <alignment horizontal="center" vertical="top" wrapText="1" readingOrder="1"/>
    </xf>
    <xf numFmtId="0" fontId="7" fillId="4" borderId="9" xfId="0" applyFont="1" applyFill="1" applyBorder="1" applyAlignment="1">
      <alignment horizontal="left" vertical="top" wrapText="1" readingOrder="1"/>
    </xf>
    <xf numFmtId="0" fontId="41" fillId="11" borderId="18" xfId="0" applyFont="1" applyFill="1" applyBorder="1" applyAlignment="1">
      <alignment vertical="top" wrapText="1" readingOrder="1"/>
    </xf>
    <xf numFmtId="0" fontId="9" fillId="0" borderId="76" xfId="0" applyFont="1" applyBorder="1" applyAlignment="1">
      <alignment horizontal="left" vertical="top" wrapText="1" readingOrder="1"/>
    </xf>
    <xf numFmtId="0" fontId="35" fillId="11" borderId="12" xfId="0" applyFont="1" applyFill="1" applyBorder="1" applyAlignment="1">
      <alignment horizontal="left" vertical="top" wrapText="1" readingOrder="1"/>
    </xf>
    <xf numFmtId="0" fontId="10" fillId="0" borderId="98" xfId="0" applyFont="1" applyBorder="1" applyAlignment="1">
      <alignment horizontal="center" vertical="top" wrapText="1" readingOrder="1"/>
    </xf>
    <xf numFmtId="0" fontId="9" fillId="0" borderId="76" xfId="0" applyFont="1" applyBorder="1" applyAlignment="1">
      <alignment vertical="top" wrapText="1" readingOrder="1"/>
    </xf>
    <xf numFmtId="0" fontId="8" fillId="0" borderId="98" xfId="0" applyFont="1" applyBorder="1" applyAlignment="1">
      <alignment horizontal="center" vertical="top" wrapText="1" readingOrder="1"/>
    </xf>
    <xf numFmtId="0" fontId="7" fillId="14" borderId="11" xfId="0" applyFont="1" applyFill="1" applyBorder="1" applyAlignment="1">
      <alignment horizontal="left" vertical="top" wrapText="1" readingOrder="1"/>
    </xf>
    <xf numFmtId="0" fontId="1" fillId="0" borderId="98" xfId="0" applyFont="1" applyBorder="1" applyAlignment="1">
      <alignment horizontal="center" vertical="top" wrapText="1" readingOrder="1"/>
    </xf>
    <xf numFmtId="0" fontId="1" fillId="0" borderId="11" xfId="0" applyFont="1" applyBorder="1" applyAlignment="1">
      <alignment horizontal="left" vertical="top" wrapText="1" readingOrder="1"/>
    </xf>
    <xf numFmtId="0" fontId="1" fillId="11" borderId="81" xfId="0" applyFont="1" applyFill="1" applyBorder="1" applyAlignment="1">
      <alignment horizontal="left" vertical="top" wrapText="1" readingOrder="1"/>
    </xf>
    <xf numFmtId="0" fontId="1" fillId="0" borderId="81" xfId="0" applyFont="1" applyBorder="1" applyAlignment="1">
      <alignment horizontal="center" vertical="top" wrapText="1" readingOrder="1"/>
    </xf>
    <xf numFmtId="4" fontId="1" fillId="0" borderId="81" xfId="0" applyNumberFormat="1" applyFont="1" applyBorder="1" applyAlignment="1">
      <alignment horizontal="center" vertical="top"/>
    </xf>
    <xf numFmtId="4" fontId="1" fillId="0" borderId="135" xfId="0" applyNumberFormat="1" applyFont="1" applyBorder="1" applyAlignment="1">
      <alignment horizontal="center" vertical="top"/>
    </xf>
    <xf numFmtId="4" fontId="9" fillId="0" borderId="103" xfId="0" applyNumberFormat="1" applyFont="1" applyBorder="1" applyAlignment="1">
      <alignment horizontal="left" vertical="top" wrapText="1"/>
    </xf>
    <xf numFmtId="0" fontId="1" fillId="11" borderId="82" xfId="0" applyFont="1" applyFill="1" applyBorder="1" applyAlignment="1">
      <alignment vertical="top" wrapText="1" readingOrder="1"/>
    </xf>
    <xf numFmtId="0" fontId="1" fillId="0" borderId="82" xfId="0" applyFont="1" applyBorder="1" applyAlignment="1">
      <alignment horizontal="center" vertical="top" wrapText="1" readingOrder="1"/>
    </xf>
    <xf numFmtId="0" fontId="1" fillId="0" borderId="136" xfId="0" applyFont="1" applyBorder="1" applyAlignment="1">
      <alignment horizontal="center" vertical="top" wrapText="1" readingOrder="1"/>
    </xf>
    <xf numFmtId="0" fontId="1" fillId="11" borderId="107" xfId="0" applyFont="1" applyFill="1" applyBorder="1" applyAlignment="1">
      <alignment vertical="top" wrapText="1" readingOrder="1"/>
    </xf>
    <xf numFmtId="0" fontId="1" fillId="0" borderId="107" xfId="0" applyFont="1" applyBorder="1" applyAlignment="1">
      <alignment horizontal="center" vertical="top" wrapText="1" readingOrder="1"/>
    </xf>
    <xf numFmtId="0" fontId="1" fillId="0" borderId="137" xfId="0" applyFont="1" applyBorder="1" applyAlignment="1">
      <alignment horizontal="center" vertical="top" wrapText="1" readingOrder="1"/>
    </xf>
    <xf numFmtId="0" fontId="9" fillId="0" borderId="130" xfId="0" applyFont="1" applyBorder="1" applyAlignment="1">
      <alignment horizontal="left" vertical="top" wrapText="1" readingOrder="1"/>
    </xf>
    <xf numFmtId="0" fontId="1" fillId="0" borderId="0" xfId="0" applyFont="1" applyAlignment="1">
      <alignment wrapText="1"/>
    </xf>
    <xf numFmtId="0" fontId="9" fillId="0" borderId="0" xfId="0" applyFont="1"/>
    <xf numFmtId="0" fontId="29" fillId="13" borderId="116" xfId="0" applyFont="1" applyFill="1" applyBorder="1" applyAlignment="1">
      <alignment horizontal="center" vertical="top" wrapText="1" readingOrder="1"/>
    </xf>
    <xf numFmtId="0" fontId="29" fillId="13" borderId="14" xfId="0" applyFont="1" applyFill="1" applyBorder="1" applyAlignment="1">
      <alignment horizontal="center" vertical="top" wrapText="1" readingOrder="1"/>
    </xf>
    <xf numFmtId="0" fontId="35" fillId="0" borderId="12" xfId="0" applyFont="1" applyBorder="1" applyAlignment="1">
      <alignment vertical="top" wrapText="1" readingOrder="1"/>
    </xf>
    <xf numFmtId="0" fontId="34" fillId="27" borderId="18" xfId="0" applyFont="1" applyFill="1" applyBorder="1" applyAlignment="1">
      <alignment vertical="top" wrapText="1" readingOrder="1"/>
    </xf>
    <xf numFmtId="0" fontId="34" fillId="13" borderId="12" xfId="0" applyFont="1" applyFill="1" applyBorder="1" applyAlignment="1">
      <alignment horizontal="left" vertical="top" wrapText="1" readingOrder="1"/>
    </xf>
    <xf numFmtId="0" fontId="35" fillId="0" borderId="81" xfId="0" applyFont="1" applyBorder="1" applyAlignment="1">
      <alignment vertical="top" wrapText="1" readingOrder="1"/>
    </xf>
    <xf numFmtId="0" fontId="35" fillId="0" borderId="16" xfId="0" applyFont="1" applyBorder="1" applyAlignment="1">
      <alignment vertical="top" wrapText="1" readingOrder="1"/>
    </xf>
    <xf numFmtId="0" fontId="29" fillId="13" borderId="19" xfId="0" applyFont="1" applyFill="1" applyBorder="1" applyAlignment="1">
      <alignment horizontal="center" vertical="top" wrapText="1" readingOrder="1"/>
    </xf>
    <xf numFmtId="0" fontId="41" fillId="13" borderId="12" xfId="0" applyFont="1" applyFill="1" applyBorder="1" applyAlignment="1">
      <alignment horizontal="left" vertical="top" wrapText="1" readingOrder="1"/>
    </xf>
    <xf numFmtId="0" fontId="35" fillId="0" borderId="18" xfId="0" applyFont="1" applyBorder="1" applyAlignment="1">
      <alignment horizontal="left" vertical="top" wrapText="1" readingOrder="1"/>
    </xf>
    <xf numFmtId="0" fontId="34" fillId="13" borderId="81" xfId="0" applyFont="1" applyFill="1" applyBorder="1" applyAlignment="1">
      <alignment vertical="top" wrapText="1" readingOrder="1"/>
    </xf>
    <xf numFmtId="0" fontId="9" fillId="13" borderId="81" xfId="0" applyFont="1" applyFill="1" applyBorder="1" applyAlignment="1">
      <alignment horizontal="left" vertical="top" wrapText="1" readingOrder="1"/>
    </xf>
    <xf numFmtId="0" fontId="9" fillId="13" borderId="107" xfId="0" applyFont="1" applyFill="1" applyBorder="1" applyAlignment="1">
      <alignment vertical="top" wrapText="1" readingOrder="1"/>
    </xf>
    <xf numFmtId="0" fontId="29" fillId="16" borderId="113" xfId="0" applyFont="1" applyFill="1" applyBorder="1" applyAlignment="1">
      <alignment horizontal="center" vertical="top" wrapText="1" readingOrder="1"/>
    </xf>
    <xf numFmtId="0" fontId="29" fillId="16" borderId="116" xfId="0" applyFont="1" applyFill="1" applyBorder="1" applyAlignment="1">
      <alignment horizontal="center" vertical="top" wrapText="1" readingOrder="1"/>
    </xf>
    <xf numFmtId="0" fontId="29" fillId="16" borderId="14" xfId="0" applyFont="1" applyFill="1" applyBorder="1" applyAlignment="1">
      <alignment horizontal="center" vertical="top" wrapText="1" readingOrder="1"/>
    </xf>
    <xf numFmtId="0" fontId="34" fillId="22" borderId="12" xfId="0" applyFont="1" applyFill="1" applyBorder="1" applyAlignment="1">
      <alignment horizontal="left" vertical="top" wrapText="1" readingOrder="1"/>
    </xf>
    <xf numFmtId="0" fontId="45" fillId="0" borderId="12" xfId="0" applyFont="1" applyBorder="1" applyAlignment="1">
      <alignment vertical="top" wrapText="1" readingOrder="1"/>
    </xf>
    <xf numFmtId="0" fontId="29" fillId="14" borderId="53" xfId="0" applyFont="1" applyFill="1" applyBorder="1" applyAlignment="1">
      <alignment horizontal="left" vertical="top" wrapText="1" readingOrder="1"/>
    </xf>
    <xf numFmtId="0" fontId="29" fillId="13" borderId="32" xfId="0" applyFont="1" applyFill="1" applyBorder="1" applyAlignment="1">
      <alignment horizontal="center" vertical="top" wrapText="1" readingOrder="1"/>
    </xf>
    <xf numFmtId="0" fontId="29" fillId="13" borderId="134" xfId="0" applyFont="1" applyFill="1" applyBorder="1" applyAlignment="1">
      <alignment horizontal="center" vertical="top" wrapText="1" readingOrder="1"/>
    </xf>
    <xf numFmtId="0" fontId="29" fillId="4" borderId="9" xfId="0" applyFont="1" applyFill="1" applyBorder="1" applyAlignment="1">
      <alignment horizontal="left" vertical="top" wrapText="1" readingOrder="1"/>
    </xf>
    <xf numFmtId="0" fontId="35" fillId="11" borderId="18" xfId="0" applyFont="1" applyFill="1" applyBorder="1" applyAlignment="1">
      <alignment vertical="top" wrapText="1" readingOrder="1"/>
    </xf>
    <xf numFmtId="0" fontId="29" fillId="14" borderId="11" xfId="0" applyFont="1" applyFill="1" applyBorder="1" applyAlignment="1">
      <alignment horizontal="left" vertical="top" wrapText="1" readingOrder="1"/>
    </xf>
    <xf numFmtId="0" fontId="29" fillId="15" borderId="11" xfId="0" applyFont="1" applyFill="1" applyBorder="1" applyAlignment="1">
      <alignment horizontal="left" vertical="top" wrapText="1" readingOrder="1"/>
    </xf>
    <xf numFmtId="0" fontId="9" fillId="11" borderId="81" xfId="0" applyFont="1" applyFill="1" applyBorder="1" applyAlignment="1">
      <alignment horizontal="left" vertical="top" wrapText="1" readingOrder="1"/>
    </xf>
    <xf numFmtId="4" fontId="9" fillId="0" borderId="81" xfId="0" applyNumberFormat="1" applyFont="1" applyBorder="1" applyAlignment="1">
      <alignment horizontal="center" vertical="top"/>
    </xf>
    <xf numFmtId="4" fontId="9" fillId="0" borderId="135" xfId="0" applyNumberFormat="1" applyFont="1" applyBorder="1" applyAlignment="1">
      <alignment horizontal="center" vertical="top"/>
    </xf>
    <xf numFmtId="0" fontId="35" fillId="11" borderId="82" xfId="0" applyFont="1" applyFill="1" applyBorder="1" applyAlignment="1">
      <alignment vertical="top" wrapText="1" readingOrder="1"/>
    </xf>
    <xf numFmtId="0" fontId="9" fillId="0" borderId="82" xfId="0" applyFont="1" applyBorder="1" applyAlignment="1">
      <alignment horizontal="center" vertical="top" wrapText="1" readingOrder="1"/>
    </xf>
    <xf numFmtId="0" fontId="9" fillId="0" borderId="136" xfId="0" applyFont="1" applyBorder="1" applyAlignment="1">
      <alignment horizontal="center" vertical="top" wrapText="1" readingOrder="1"/>
    </xf>
    <xf numFmtId="0" fontId="35" fillId="11" borderId="107" xfId="0" applyFont="1" applyFill="1" applyBorder="1" applyAlignment="1">
      <alignment vertical="top" wrapText="1" readingOrder="1"/>
    </xf>
    <xf numFmtId="0" fontId="9" fillId="0" borderId="107" xfId="0" applyFont="1" applyBorder="1" applyAlignment="1">
      <alignment horizontal="center" vertical="top" wrapText="1" readingOrder="1"/>
    </xf>
    <xf numFmtId="0" fontId="9" fillId="0" borderId="137" xfId="0" applyFont="1" applyBorder="1" applyAlignment="1">
      <alignment horizontal="center" vertical="top" wrapText="1" readingOrder="1"/>
    </xf>
    <xf numFmtId="0" fontId="29" fillId="17" borderId="53" xfId="0" applyFont="1" applyFill="1" applyBorder="1" applyAlignment="1">
      <alignment vertical="top" wrapText="1" readingOrder="1"/>
    </xf>
    <xf numFmtId="0" fontId="29" fillId="16" borderId="32" xfId="0" applyFont="1" applyFill="1" applyBorder="1" applyAlignment="1">
      <alignment horizontal="center" vertical="top" wrapText="1" readingOrder="1"/>
    </xf>
    <xf numFmtId="0" fontId="29" fillId="4" borderId="9" xfId="0" applyFont="1" applyFill="1" applyBorder="1" applyAlignment="1">
      <alignment vertical="top" wrapText="1" readingOrder="1"/>
    </xf>
    <xf numFmtId="0" fontId="29" fillId="17" borderId="11" xfId="0" applyFont="1" applyFill="1" applyBorder="1" applyAlignment="1">
      <alignment vertical="top" wrapText="1" readingOrder="1"/>
    </xf>
    <xf numFmtId="0" fontId="35" fillId="0" borderId="16" xfId="0" applyFont="1" applyBorder="1" applyAlignment="1">
      <alignment horizontal="left" vertical="top" wrapText="1" readingOrder="1"/>
    </xf>
    <xf numFmtId="0" fontId="29" fillId="18" borderId="19" xfId="0" applyFont="1" applyFill="1" applyBorder="1" applyAlignment="1">
      <alignment horizontal="center" vertical="top" wrapText="1" readingOrder="1"/>
    </xf>
    <xf numFmtId="0" fontId="29" fillId="18" borderId="12" xfId="0" applyFont="1" applyFill="1" applyBorder="1" applyAlignment="1">
      <alignment horizontal="center" vertical="top" wrapText="1" readingOrder="1"/>
    </xf>
    <xf numFmtId="0" fontId="34" fillId="24" borderId="12" xfId="0" applyFont="1" applyFill="1" applyBorder="1" applyAlignment="1">
      <alignment horizontal="left" vertical="top" wrapText="1" readingOrder="1"/>
    </xf>
    <xf numFmtId="0" fontId="34" fillId="24" borderId="104" xfId="0" applyFont="1" applyFill="1" applyBorder="1" applyAlignment="1">
      <alignment horizontal="left" vertical="top" wrapText="1" readingOrder="1"/>
    </xf>
    <xf numFmtId="0" fontId="35" fillId="0" borderId="82" xfId="0" applyFont="1" applyBorder="1" applyAlignment="1">
      <alignment horizontal="left" vertical="top" wrapText="1" readingOrder="1"/>
    </xf>
    <xf numFmtId="0" fontId="34" fillId="24" borderId="82" xfId="0" applyFont="1" applyFill="1" applyBorder="1" applyAlignment="1">
      <alignment horizontal="left" vertical="top" wrapText="1" readingOrder="1"/>
    </xf>
    <xf numFmtId="0" fontId="9" fillId="24" borderId="83" xfId="0" applyFont="1" applyFill="1" applyBorder="1" applyAlignment="1">
      <alignment horizontal="left" vertical="top" wrapText="1" readingOrder="1"/>
    </xf>
    <xf numFmtId="0" fontId="9" fillId="24" borderId="107" xfId="0" applyFont="1" applyFill="1" applyBorder="1" applyAlignment="1">
      <alignment horizontal="left" vertical="top" wrapText="1" readingOrder="1"/>
    </xf>
    <xf numFmtId="0" fontId="29" fillId="3" borderId="7" xfId="0" applyFont="1" applyFill="1" applyBorder="1" applyAlignment="1">
      <alignment horizontal="center" vertical="top" wrapText="1" readingOrder="1"/>
    </xf>
    <xf numFmtId="0" fontId="29" fillId="3" borderId="14" xfId="0" applyFont="1" applyFill="1" applyBorder="1" applyAlignment="1">
      <alignment horizontal="center" vertical="top" wrapText="1" readingOrder="1"/>
    </xf>
    <xf numFmtId="0" fontId="34" fillId="3" borderId="12" xfId="0" applyFont="1" applyFill="1" applyBorder="1" applyAlignment="1">
      <alignment horizontal="left" vertical="top" wrapText="1" readingOrder="1"/>
    </xf>
    <xf numFmtId="0" fontId="35" fillId="0" borderId="82" xfId="0" applyFont="1" applyBorder="1" applyAlignment="1">
      <alignment vertical="top" wrapText="1" readingOrder="1"/>
    </xf>
    <xf numFmtId="0" fontId="35" fillId="0" borderId="85" xfId="0" applyFont="1" applyBorder="1" applyAlignment="1">
      <alignment vertical="top" wrapText="1" readingOrder="1"/>
    </xf>
    <xf numFmtId="0" fontId="35" fillId="0" borderId="88" xfId="0" applyFont="1" applyBorder="1" applyAlignment="1">
      <alignment horizontal="left" vertical="top" wrapText="1" readingOrder="1"/>
    </xf>
    <xf numFmtId="0" fontId="35" fillId="0" borderId="85" xfId="0" applyFont="1" applyBorder="1" applyAlignment="1">
      <alignment vertical="top" wrapText="1"/>
    </xf>
    <xf numFmtId="0" fontId="29" fillId="3" borderId="15" xfId="0" applyFont="1" applyFill="1" applyBorder="1" applyAlignment="1">
      <alignment horizontal="center" vertical="top" wrapText="1" readingOrder="1"/>
    </xf>
    <xf numFmtId="0" fontId="34" fillId="3" borderId="12" xfId="0" applyFont="1" applyFill="1" applyBorder="1" applyAlignment="1">
      <alignment vertical="top" wrapText="1" readingOrder="1"/>
    </xf>
    <xf numFmtId="0" fontId="9" fillId="6" borderId="16" xfId="0" applyFont="1" applyFill="1" applyBorder="1" applyAlignment="1">
      <alignment horizontal="center" vertical="top" wrapText="1" readingOrder="1"/>
    </xf>
    <xf numFmtId="0" fontId="35" fillId="11" borderId="10" xfId="0" applyFont="1" applyFill="1" applyBorder="1" applyAlignment="1">
      <alignment vertical="top" wrapText="1" readingOrder="1"/>
    </xf>
    <xf numFmtId="0" fontId="29" fillId="18" borderId="10" xfId="0" applyFont="1" applyFill="1" applyBorder="1" applyAlignment="1">
      <alignment horizontal="center" vertical="top" wrapText="1" readingOrder="1"/>
    </xf>
    <xf numFmtId="0" fontId="9" fillId="11" borderId="110" xfId="0" applyFont="1" applyFill="1" applyBorder="1" applyAlignment="1">
      <alignment horizontal="left" vertical="top" wrapText="1" readingOrder="1"/>
    </xf>
    <xf numFmtId="0" fontId="35" fillId="11" borderId="14" xfId="0" applyFont="1" applyFill="1" applyBorder="1" applyAlignment="1">
      <alignment horizontal="left" vertical="top" wrapText="1" readingOrder="1"/>
    </xf>
    <xf numFmtId="0" fontId="9" fillId="0" borderId="111" xfId="0" applyFont="1" applyBorder="1" applyAlignment="1">
      <alignment horizontal="left" vertical="top" wrapText="1" readingOrder="1"/>
    </xf>
    <xf numFmtId="0" fontId="29" fillId="3" borderId="32" xfId="0" applyFont="1" applyFill="1" applyBorder="1" applyAlignment="1">
      <alignment horizontal="center" vertical="top" wrapText="1" readingOrder="1"/>
    </xf>
    <xf numFmtId="0" fontId="29" fillId="4" borderId="36" xfId="0" applyFont="1" applyFill="1" applyBorder="1" applyAlignment="1">
      <alignment horizontal="left" vertical="top" wrapText="1" readingOrder="1"/>
    </xf>
    <xf numFmtId="0" fontId="29" fillId="0" borderId="93" xfId="0" applyFont="1" applyBorder="1" applyAlignment="1">
      <alignment horizontal="left" vertical="top" wrapText="1" readingOrder="1"/>
    </xf>
    <xf numFmtId="0" fontId="29" fillId="3" borderId="38" xfId="0" applyFont="1" applyFill="1" applyBorder="1" applyAlignment="1">
      <alignment horizontal="left" vertical="top" wrapText="1" readingOrder="1"/>
    </xf>
    <xf numFmtId="0" fontId="29" fillId="4" borderId="38" xfId="0" applyFont="1" applyFill="1" applyBorder="1" applyAlignment="1">
      <alignment horizontal="left" vertical="top" wrapText="1" readingOrder="1"/>
    </xf>
    <xf numFmtId="0" fontId="29" fillId="4" borderId="97" xfId="0" applyFont="1" applyFill="1" applyBorder="1" applyAlignment="1">
      <alignment horizontal="left" vertical="top" wrapText="1" readingOrder="1"/>
    </xf>
    <xf numFmtId="0" fontId="29" fillId="4" borderId="95" xfId="0" applyFont="1" applyFill="1" applyBorder="1" applyAlignment="1">
      <alignment horizontal="left" vertical="top" wrapText="1" readingOrder="1"/>
    </xf>
    <xf numFmtId="0" fontId="35" fillId="6" borderId="12" xfId="0" applyFont="1" applyFill="1" applyBorder="1" applyAlignment="1">
      <alignment vertical="top" wrapText="1" readingOrder="1"/>
    </xf>
    <xf numFmtId="0" fontId="34" fillId="6" borderId="12" xfId="0" applyFont="1" applyFill="1" applyBorder="1" applyAlignment="1">
      <alignment vertical="top" wrapText="1" readingOrder="1"/>
    </xf>
    <xf numFmtId="0" fontId="29" fillId="3" borderId="19" xfId="0" applyFont="1" applyFill="1" applyBorder="1" applyAlignment="1">
      <alignment horizontal="center" vertical="top" wrapText="1" readingOrder="1"/>
    </xf>
    <xf numFmtId="0" fontId="34" fillId="3" borderId="81" xfId="0" applyFont="1" applyFill="1" applyBorder="1" applyAlignment="1">
      <alignment vertical="top" wrapText="1" readingOrder="1"/>
    </xf>
    <xf numFmtId="0" fontId="29" fillId="9" borderId="14" xfId="0" applyFont="1" applyFill="1" applyBorder="1" applyAlignment="1">
      <alignment horizontal="center" vertical="top" wrapText="1" readingOrder="1"/>
    </xf>
    <xf numFmtId="0" fontId="35" fillId="6" borderId="81" xfId="0" applyFont="1" applyFill="1" applyBorder="1" applyAlignment="1">
      <alignment vertical="top" wrapText="1" readingOrder="1"/>
    </xf>
    <xf numFmtId="0" fontId="34" fillId="9" borderId="12" xfId="0" applyFont="1" applyFill="1" applyBorder="1" applyAlignment="1">
      <alignment horizontal="left" vertical="top" wrapText="1" readingOrder="1"/>
    </xf>
    <xf numFmtId="0" fontId="35" fillId="6" borderId="83" xfId="0" applyFont="1" applyFill="1" applyBorder="1" applyAlignment="1">
      <alignment vertical="top" wrapText="1" readingOrder="1"/>
    </xf>
    <xf numFmtId="0" fontId="34" fillId="9" borderId="12" xfId="0" applyFont="1" applyFill="1" applyBorder="1" applyAlignment="1">
      <alignment vertical="top" wrapText="1" readingOrder="1"/>
    </xf>
    <xf numFmtId="0" fontId="35" fillId="0" borderId="12" xfId="0" applyFont="1" applyBorder="1" applyAlignment="1">
      <alignment vertical="top" wrapText="1"/>
    </xf>
    <xf numFmtId="0" fontId="35" fillId="0" borderId="14" xfId="0" applyFont="1" applyBorder="1" applyAlignment="1">
      <alignment vertical="top" wrapText="1"/>
    </xf>
    <xf numFmtId="0" fontId="29" fillId="11" borderId="112" xfId="0" applyFont="1" applyFill="1" applyBorder="1"/>
    <xf numFmtId="0" fontId="9" fillId="11" borderId="6" xfId="0" applyFont="1" applyFill="1" applyBorder="1"/>
    <xf numFmtId="0" fontId="29" fillId="0" borderId="138" xfId="0" applyFont="1" applyBorder="1"/>
    <xf numFmtId="0" fontId="29" fillId="0" borderId="0" xfId="0" applyFont="1"/>
    <xf numFmtId="0" fontId="34" fillId="0" borderId="138" xfId="0" applyFont="1" applyBorder="1"/>
    <xf numFmtId="0" fontId="34" fillId="0" borderId="0" xfId="0" applyFont="1"/>
    <xf numFmtId="0" fontId="9" fillId="27" borderId="138" xfId="0" applyFont="1" applyFill="1" applyBorder="1"/>
    <xf numFmtId="0" fontId="9" fillId="27" borderId="0" xfId="0" applyFont="1" applyFill="1"/>
    <xf numFmtId="0" fontId="9" fillId="28" borderId="138" xfId="0" applyFont="1" applyFill="1" applyBorder="1"/>
    <xf numFmtId="0" fontId="9" fillId="28" borderId="0" xfId="0" applyFont="1" applyFill="1"/>
    <xf numFmtId="0" fontId="9" fillId="29" borderId="138" xfId="0" applyFont="1" applyFill="1" applyBorder="1"/>
    <xf numFmtId="0" fontId="9" fillId="29" borderId="0" xfId="0" applyFont="1" applyFill="1"/>
    <xf numFmtId="0" fontId="9" fillId="30" borderId="138" xfId="0" applyFont="1" applyFill="1" applyBorder="1"/>
    <xf numFmtId="0" fontId="9" fillId="30" borderId="0" xfId="0" applyFont="1" applyFill="1"/>
    <xf numFmtId="0" fontId="9" fillId="9" borderId="138" xfId="0" applyFont="1" applyFill="1" applyBorder="1"/>
    <xf numFmtId="0" fontId="9" fillId="9" borderId="0" xfId="0" applyFont="1" applyFill="1"/>
    <xf numFmtId="0" fontId="29" fillId="24" borderId="139" xfId="0" applyFont="1" applyFill="1" applyBorder="1"/>
    <xf numFmtId="0" fontId="29" fillId="24" borderId="130" xfId="0" applyFont="1" applyFill="1" applyBorder="1"/>
    <xf numFmtId="0" fontId="35" fillId="11" borderId="16" xfId="0" applyFont="1" applyFill="1" applyBorder="1" applyAlignment="1">
      <alignment vertical="top" wrapText="1" readingOrder="1"/>
    </xf>
    <xf numFmtId="0" fontId="9" fillId="6" borderId="8" xfId="0" applyFont="1" applyFill="1" applyBorder="1" applyAlignment="1">
      <alignment horizontal="center" vertical="top" wrapText="1" readingOrder="1"/>
    </xf>
    <xf numFmtId="0" fontId="35" fillId="11" borderId="14" xfId="0" applyFont="1" applyFill="1" applyBorder="1" applyAlignment="1">
      <alignment vertical="top" wrapText="1" readingOrder="1"/>
    </xf>
    <xf numFmtId="0" fontId="29" fillId="9" borderId="32" xfId="0" applyFont="1" applyFill="1" applyBorder="1" applyAlignment="1">
      <alignment horizontal="center" vertical="top" wrapText="1" readingOrder="1"/>
    </xf>
    <xf numFmtId="0" fontId="29" fillId="4" borderId="56" xfId="0" applyFont="1" applyFill="1" applyBorder="1" applyAlignment="1">
      <alignment vertical="top" wrapText="1" readingOrder="1"/>
    </xf>
    <xf numFmtId="0" fontId="9" fillId="11" borderId="51" xfId="0" applyFont="1" applyFill="1" applyBorder="1"/>
    <xf numFmtId="0" fontId="9" fillId="0" borderId="129" xfId="0" applyFont="1" applyBorder="1"/>
    <xf numFmtId="0" fontId="29" fillId="24" borderId="131" xfId="0" applyFont="1" applyFill="1" applyBorder="1"/>
    <xf numFmtId="0" fontId="29" fillId="13" borderId="112" xfId="0" applyFont="1" applyFill="1" applyBorder="1" applyAlignment="1">
      <alignment horizontal="center" vertical="top" wrapText="1" readingOrder="1"/>
    </xf>
    <xf numFmtId="0" fontId="29" fillId="13" borderId="6" xfId="0" applyFont="1" applyFill="1" applyBorder="1" applyAlignment="1">
      <alignment horizontal="center" vertical="top" wrapText="1" readingOrder="1"/>
    </xf>
    <xf numFmtId="0" fontId="29" fillId="13" borderId="51" xfId="0" applyFont="1" applyFill="1" applyBorder="1" applyAlignment="1">
      <alignment horizontal="center" vertical="top" wrapText="1" readingOrder="1"/>
    </xf>
    <xf numFmtId="0" fontId="29" fillId="13" borderId="115" xfId="0" applyFont="1" applyFill="1" applyBorder="1" applyAlignment="1">
      <alignment horizontal="center" vertical="top" wrapText="1" readingOrder="1"/>
    </xf>
    <xf numFmtId="0" fontId="29" fillId="13" borderId="9" xfId="0" applyFont="1" applyFill="1" applyBorder="1" applyAlignment="1">
      <alignment horizontal="center" vertical="top" wrapText="1" readingOrder="1"/>
    </xf>
    <xf numFmtId="0" fontId="29" fillId="13" borderId="52" xfId="0" applyFont="1" applyFill="1" applyBorder="1" applyAlignment="1">
      <alignment horizontal="center" vertical="top" wrapText="1" readingOrder="1"/>
    </xf>
    <xf numFmtId="3" fontId="11" fillId="7" borderId="128" xfId="0" applyNumberFormat="1" applyFont="1" applyFill="1" applyBorder="1" applyAlignment="1">
      <alignment horizontal="center" vertical="center" wrapText="1"/>
    </xf>
    <xf numFmtId="3" fontId="11" fillId="7" borderId="26" xfId="0" applyNumberFormat="1" applyFont="1" applyFill="1" applyBorder="1" applyAlignment="1">
      <alignment horizontal="center" vertical="center" wrapText="1"/>
    </xf>
    <xf numFmtId="3" fontId="11" fillId="7" borderId="27" xfId="0" applyNumberFormat="1" applyFont="1" applyFill="1" applyBorder="1" applyAlignment="1">
      <alignment horizontal="center" vertical="center" wrapText="1"/>
    </xf>
    <xf numFmtId="3" fontId="11" fillId="7" borderId="76" xfId="0" applyNumberFormat="1" applyFont="1" applyFill="1" applyBorder="1" applyAlignment="1">
      <alignment horizontal="center" vertical="center" wrapText="1"/>
    </xf>
    <xf numFmtId="3" fontId="11" fillId="7" borderId="12" xfId="0" applyNumberFormat="1" applyFont="1" applyFill="1" applyBorder="1" applyAlignment="1">
      <alignment horizontal="center" vertical="center" wrapText="1"/>
    </xf>
    <xf numFmtId="3" fontId="11" fillId="7" borderId="29" xfId="0" applyNumberFormat="1" applyFont="1" applyFill="1" applyBorder="1" applyAlignment="1">
      <alignment horizontal="center" vertical="center" wrapText="1"/>
    </xf>
    <xf numFmtId="3" fontId="11" fillId="7" borderId="112" xfId="0" applyNumberFormat="1" applyFont="1" applyFill="1" applyBorder="1" applyAlignment="1">
      <alignment horizontal="center" vertical="center" wrapText="1"/>
    </xf>
    <xf numFmtId="3" fontId="11" fillId="7" borderId="6" xfId="0" applyNumberFormat="1" applyFont="1" applyFill="1" applyBorder="1" applyAlignment="1">
      <alignment horizontal="center" vertical="center" wrapText="1"/>
    </xf>
    <xf numFmtId="3" fontId="11" fillId="7" borderId="51" xfId="0" applyNumberFormat="1" applyFont="1" applyFill="1" applyBorder="1" applyAlignment="1">
      <alignment horizontal="center" vertical="center" wrapText="1"/>
    </xf>
    <xf numFmtId="3" fontId="11" fillId="7" borderId="115" xfId="0" applyNumberFormat="1" applyFont="1" applyFill="1" applyBorder="1" applyAlignment="1">
      <alignment horizontal="center" vertical="center" wrapText="1"/>
    </xf>
    <xf numFmtId="3" fontId="11" fillId="7" borderId="9" xfId="0" applyNumberFormat="1" applyFont="1" applyFill="1" applyBorder="1" applyAlignment="1">
      <alignment horizontal="center" vertical="center" wrapText="1"/>
    </xf>
    <xf numFmtId="3" fontId="11" fillId="7" borderId="52" xfId="0" applyNumberFormat="1" applyFont="1" applyFill="1" applyBorder="1" applyAlignment="1">
      <alignment horizontal="center" vertical="center" wrapText="1"/>
    </xf>
    <xf numFmtId="3" fontId="11" fillId="7" borderId="61" xfId="0" applyNumberFormat="1" applyFont="1" applyFill="1" applyBorder="1" applyAlignment="1">
      <alignment horizontal="center" vertical="center" wrapText="1"/>
    </xf>
    <xf numFmtId="3" fontId="11" fillId="7" borderId="65" xfId="0" applyNumberFormat="1" applyFont="1" applyFill="1" applyBorder="1" applyAlignment="1">
      <alignment horizontal="center" vertical="center" wrapText="1"/>
    </xf>
    <xf numFmtId="3" fontId="11" fillId="7" borderId="68" xfId="0" applyNumberFormat="1" applyFont="1" applyFill="1" applyBorder="1" applyAlignment="1">
      <alignment horizontal="center" vertical="center" wrapText="1"/>
    </xf>
    <xf numFmtId="3" fontId="11" fillId="7" borderId="19" xfId="0" applyNumberFormat="1" applyFont="1" applyFill="1" applyBorder="1" applyAlignment="1">
      <alignment horizontal="center" vertical="center" wrapText="1"/>
    </xf>
    <xf numFmtId="3" fontId="11" fillId="7" borderId="39" xfId="0" applyNumberFormat="1" applyFont="1" applyFill="1" applyBorder="1" applyAlignment="1">
      <alignment horizontal="center" vertical="center" wrapText="1"/>
    </xf>
    <xf numFmtId="0" fontId="29" fillId="9" borderId="5" xfId="0" applyFont="1" applyFill="1" applyBorder="1" applyAlignment="1">
      <alignment horizontal="center" vertical="top" wrapText="1" readingOrder="1"/>
    </xf>
    <xf numFmtId="0" fontId="29" fillId="9" borderId="6" xfId="0" applyFont="1" applyFill="1" applyBorder="1" applyAlignment="1">
      <alignment horizontal="center" vertical="top" wrapText="1" readingOrder="1"/>
    </xf>
    <xf numFmtId="0" fontId="29" fillId="9" borderId="51" xfId="0" applyFont="1" applyFill="1" applyBorder="1" applyAlignment="1">
      <alignment horizontal="center" vertical="top" wrapText="1" readingOrder="1"/>
    </xf>
    <xf numFmtId="0" fontId="29" fillId="9" borderId="8" xfId="0" applyFont="1" applyFill="1" applyBorder="1" applyAlignment="1">
      <alignment horizontal="center" vertical="top" wrapText="1" readingOrder="1"/>
    </xf>
    <xf numFmtId="0" fontId="29" fillId="9" borderId="9" xfId="0" applyFont="1" applyFill="1" applyBorder="1" applyAlignment="1">
      <alignment horizontal="center" vertical="top" wrapText="1" readingOrder="1"/>
    </xf>
    <xf numFmtId="0" fontId="29" fillId="9" borderId="52" xfId="0" applyFont="1" applyFill="1" applyBorder="1" applyAlignment="1">
      <alignment horizontal="center" vertical="top" wrapText="1" readingOrder="1"/>
    </xf>
    <xf numFmtId="3" fontId="11" fillId="7" borderId="4" xfId="0" applyNumberFormat="1" applyFont="1" applyFill="1" applyBorder="1" applyAlignment="1">
      <alignment horizontal="center" vertical="center" wrapText="1"/>
    </xf>
    <xf numFmtId="3" fontId="11" fillId="7" borderId="7" xfId="0" applyNumberFormat="1" applyFont="1" applyFill="1" applyBorder="1" applyAlignment="1">
      <alignment horizontal="center" vertical="center" wrapText="1"/>
    </xf>
    <xf numFmtId="3" fontId="11" fillId="7" borderId="25" xfId="0" applyNumberFormat="1" applyFont="1" applyFill="1" applyBorder="1" applyAlignment="1">
      <alignment horizontal="center" vertical="center" wrapText="1"/>
    </xf>
    <xf numFmtId="0" fontId="29" fillId="3" borderId="5" xfId="0" applyFont="1" applyFill="1" applyBorder="1" applyAlignment="1">
      <alignment horizontal="center" vertical="top" wrapText="1" readingOrder="1"/>
    </xf>
    <xf numFmtId="0" fontId="29" fillId="3" borderId="6" xfId="0" applyFont="1" applyFill="1" applyBorder="1" applyAlignment="1">
      <alignment horizontal="center" vertical="top" wrapText="1" readingOrder="1"/>
    </xf>
    <xf numFmtId="0" fontId="29" fillId="3" borderId="24" xfId="0" applyFont="1" applyFill="1" applyBorder="1" applyAlignment="1">
      <alignment horizontal="center" vertical="top" wrapText="1" readingOrder="1"/>
    </xf>
    <xf numFmtId="0" fontId="29" fillId="3" borderId="8" xfId="0" applyFont="1" applyFill="1" applyBorder="1" applyAlignment="1">
      <alignment horizontal="center" vertical="top" wrapText="1" readingOrder="1"/>
    </xf>
    <xf numFmtId="0" fontId="29" fillId="3" borderId="9" xfId="0" applyFont="1" applyFill="1" applyBorder="1" applyAlignment="1">
      <alignment horizontal="center" vertical="top" wrapText="1" readingOrder="1"/>
    </xf>
    <xf numFmtId="0" fontId="29" fillId="3" borderId="28" xfId="0" applyFont="1" applyFill="1" applyBorder="1" applyAlignment="1">
      <alignment horizontal="center" vertical="top" wrapText="1" readingOrder="1"/>
    </xf>
    <xf numFmtId="0" fontId="9" fillId="6" borderId="21" xfId="0" applyFont="1" applyFill="1" applyBorder="1" applyAlignment="1">
      <alignment horizontal="left" vertical="top" wrapText="1" readingOrder="1"/>
    </xf>
    <xf numFmtId="0" fontId="9" fillId="6" borderId="100" xfId="0" applyFont="1" applyFill="1" applyBorder="1" applyAlignment="1">
      <alignment horizontal="left" vertical="top" wrapText="1" readingOrder="1"/>
    </xf>
    <xf numFmtId="0" fontId="29" fillId="9" borderId="4" xfId="0" applyFont="1" applyFill="1" applyBorder="1" applyAlignment="1">
      <alignment horizontal="center" vertical="top" wrapText="1" readingOrder="1"/>
    </xf>
    <xf numFmtId="0" fontId="29" fillId="9" borderId="7" xfId="0" applyFont="1" applyFill="1" applyBorder="1" applyAlignment="1">
      <alignment horizontal="center" vertical="top" wrapText="1" readingOrder="1"/>
    </xf>
    <xf numFmtId="3" fontId="11" fillId="7" borderId="129" xfId="0" applyNumberFormat="1" applyFont="1" applyFill="1" applyBorder="1" applyAlignment="1">
      <alignment horizontal="center" vertical="center"/>
    </xf>
    <xf numFmtId="3" fontId="11" fillId="7" borderId="131" xfId="0" applyNumberFormat="1" applyFont="1" applyFill="1" applyBorder="1" applyAlignment="1">
      <alignment horizontal="center" vertical="center"/>
    </xf>
    <xf numFmtId="3" fontId="11" fillId="7" borderId="35" xfId="0" applyNumberFormat="1" applyFont="1" applyFill="1" applyBorder="1" applyAlignment="1">
      <alignment horizontal="center" vertical="center" wrapText="1"/>
    </xf>
    <xf numFmtId="3" fontId="11" fillId="7" borderId="39" xfId="0" applyNumberFormat="1" applyFont="1" applyFill="1" applyBorder="1" applyAlignment="1">
      <alignment horizontal="center" vertical="center"/>
    </xf>
    <xf numFmtId="3" fontId="11" fillId="7" borderId="29" xfId="0" applyNumberFormat="1" applyFont="1" applyFill="1" applyBorder="1" applyAlignment="1">
      <alignment horizontal="center" vertical="center"/>
    </xf>
    <xf numFmtId="3" fontId="11" fillId="7" borderId="35" xfId="0" applyNumberFormat="1" applyFont="1" applyFill="1" applyBorder="1" applyAlignment="1">
      <alignment horizontal="center" vertical="center"/>
    </xf>
    <xf numFmtId="3" fontId="11" fillId="7" borderId="0" xfId="0" applyNumberFormat="1" applyFont="1" applyFill="1" applyAlignment="1">
      <alignment horizontal="center" vertical="center"/>
    </xf>
    <xf numFmtId="3" fontId="11" fillId="7" borderId="130" xfId="0" applyNumberFormat="1" applyFont="1" applyFill="1" applyBorder="1" applyAlignment="1">
      <alignment horizontal="center" vertical="center"/>
    </xf>
    <xf numFmtId="3" fontId="12" fillId="7" borderId="76" xfId="0" applyNumberFormat="1" applyFont="1" applyFill="1" applyBorder="1" applyAlignment="1">
      <alignment horizontal="center" vertical="center" wrapText="1"/>
    </xf>
    <xf numFmtId="3" fontId="12" fillId="7" borderId="117" xfId="0" applyNumberFormat="1" applyFont="1" applyFill="1" applyBorder="1" applyAlignment="1">
      <alignment horizontal="center" vertical="center" wrapText="1"/>
    </xf>
    <xf numFmtId="3" fontId="12" fillId="7" borderId="19" xfId="0" applyNumberFormat="1" applyFont="1" applyFill="1" applyBorder="1" applyAlignment="1">
      <alignment horizontal="center" vertical="center"/>
    </xf>
    <xf numFmtId="3" fontId="12" fillId="7" borderId="34" xfId="0" applyNumberFormat="1" applyFont="1" applyFill="1" applyBorder="1" applyAlignment="1">
      <alignment horizontal="center" vertical="center"/>
    </xf>
    <xf numFmtId="0" fontId="29" fillId="3" borderId="10" xfId="0" applyFont="1" applyFill="1" applyBorder="1" applyAlignment="1">
      <alignment horizontal="center" vertical="top" wrapText="1" readingOrder="1"/>
    </xf>
    <xf numFmtId="0" fontId="29" fillId="3" borderId="11" xfId="0" applyFont="1" applyFill="1" applyBorder="1" applyAlignment="1">
      <alignment horizontal="center" vertical="top" wrapText="1" readingOrder="1"/>
    </xf>
    <xf numFmtId="0" fontId="29" fillId="3" borderId="30" xfId="0" applyFont="1" applyFill="1" applyBorder="1" applyAlignment="1">
      <alignment horizontal="center" vertical="top" wrapText="1" readingOrder="1"/>
    </xf>
    <xf numFmtId="0" fontId="29" fillId="3" borderId="12" xfId="0" applyFont="1" applyFill="1" applyBorder="1" applyAlignment="1">
      <alignment horizontal="center" vertical="top" wrapText="1" readingOrder="1"/>
    </xf>
    <xf numFmtId="0" fontId="29" fillId="4" borderId="15" xfId="0" applyFont="1" applyFill="1" applyBorder="1" applyAlignment="1">
      <alignment horizontal="left" vertical="top" wrapText="1" readingOrder="1"/>
    </xf>
    <xf numFmtId="0" fontId="29" fillId="4" borderId="16" xfId="0" applyFont="1" applyFill="1" applyBorder="1" applyAlignment="1">
      <alignment horizontal="left" vertical="top" wrapText="1" readingOrder="1"/>
    </xf>
    <xf numFmtId="0" fontId="29" fillId="4" borderId="8" xfId="0" applyFont="1" applyFill="1" applyBorder="1" applyAlignment="1">
      <alignment horizontal="left" vertical="top" wrapText="1" readingOrder="1"/>
    </xf>
    <xf numFmtId="0" fontId="29" fillId="18" borderId="12" xfId="0" applyFont="1" applyFill="1" applyBorder="1" applyAlignment="1">
      <alignment horizontal="center" vertical="top" wrapText="1" readingOrder="1"/>
    </xf>
    <xf numFmtId="0" fontId="29" fillId="3" borderId="14" xfId="0" applyFont="1" applyFill="1" applyBorder="1" applyAlignment="1">
      <alignment horizontal="center" vertical="top" wrapText="1" readingOrder="1"/>
    </xf>
    <xf numFmtId="0" fontId="9" fillId="6" borderId="18" xfId="0" applyFont="1" applyFill="1" applyBorder="1" applyAlignment="1">
      <alignment horizontal="center" vertical="top" wrapText="1" readingOrder="1"/>
    </xf>
    <xf numFmtId="0" fontId="9" fillId="6" borderId="16" xfId="0" applyFont="1" applyFill="1" applyBorder="1" applyAlignment="1">
      <alignment horizontal="center" vertical="top" wrapText="1" readingOrder="1"/>
    </xf>
    <xf numFmtId="0" fontId="29" fillId="9" borderId="12" xfId="0" applyFont="1" applyFill="1" applyBorder="1" applyAlignment="1">
      <alignment horizontal="center" vertical="top" wrapText="1" readingOrder="1"/>
    </xf>
    <xf numFmtId="0" fontId="29" fillId="9" borderId="14" xfId="0" applyFont="1" applyFill="1" applyBorder="1" applyAlignment="1">
      <alignment horizontal="center" vertical="top" wrapText="1" readingOrder="1"/>
    </xf>
    <xf numFmtId="0" fontId="9" fillId="6" borderId="18" xfId="0" applyFont="1" applyFill="1" applyBorder="1" applyAlignment="1">
      <alignment horizontal="left" vertical="top" wrapText="1" readingOrder="1"/>
    </xf>
    <xf numFmtId="0" fontId="9" fillId="6" borderId="16" xfId="0" applyFont="1" applyFill="1" applyBorder="1" applyAlignment="1">
      <alignment horizontal="left" vertical="top" wrapText="1" readingOrder="1"/>
    </xf>
    <xf numFmtId="0" fontId="9" fillId="6" borderId="50" xfId="0" applyFont="1" applyFill="1" applyBorder="1" applyAlignment="1">
      <alignment horizontal="left" vertical="top" wrapText="1" readingOrder="1"/>
    </xf>
    <xf numFmtId="0" fontId="29" fillId="18" borderId="62" xfId="0" applyFont="1" applyFill="1" applyBorder="1" applyAlignment="1">
      <alignment horizontal="center" vertical="top" wrapText="1" readingOrder="1"/>
    </xf>
    <xf numFmtId="0" fontId="29" fillId="18" borderId="2" xfId="0" applyFont="1" applyFill="1" applyBorder="1" applyAlignment="1">
      <alignment horizontal="center" vertical="top" wrapText="1" readingOrder="1"/>
    </xf>
    <xf numFmtId="0" fontId="29" fillId="18" borderId="22" xfId="0" applyFont="1" applyFill="1" applyBorder="1" applyAlignment="1">
      <alignment horizontal="center" vertical="top" wrapText="1" readingOrder="1"/>
    </xf>
    <xf numFmtId="0" fontId="29" fillId="18" borderId="8" xfId="0" applyFont="1" applyFill="1" applyBorder="1" applyAlignment="1">
      <alignment horizontal="center" vertical="top" wrapText="1" readingOrder="1"/>
    </xf>
    <xf numFmtId="0" fontId="29" fillId="18" borderId="9" xfId="0" applyFont="1" applyFill="1" applyBorder="1" applyAlignment="1">
      <alignment horizontal="center" vertical="top" wrapText="1" readingOrder="1"/>
    </xf>
    <xf numFmtId="0" fontId="29" fillId="18" borderId="28" xfId="0" applyFont="1" applyFill="1" applyBorder="1" applyAlignment="1">
      <alignment horizontal="center" vertical="top" wrapText="1" readingOrder="1"/>
    </xf>
    <xf numFmtId="0" fontId="29" fillId="4" borderId="7" xfId="0" applyFont="1" applyFill="1" applyBorder="1" applyAlignment="1">
      <alignment horizontal="left" vertical="top" wrapText="1" readingOrder="1"/>
    </xf>
    <xf numFmtId="0" fontId="29" fillId="4" borderId="12" xfId="0" applyFont="1" applyFill="1" applyBorder="1" applyAlignment="1">
      <alignment horizontal="left" vertical="top" wrapText="1" readingOrder="1"/>
    </xf>
    <xf numFmtId="0" fontId="29" fillId="4" borderId="10" xfId="0" applyFont="1" applyFill="1" applyBorder="1" applyAlignment="1">
      <alignment horizontal="left" vertical="top" wrapText="1" readingOrder="1"/>
    </xf>
    <xf numFmtId="0" fontId="29" fillId="10" borderId="12" xfId="0" applyFont="1" applyFill="1" applyBorder="1" applyAlignment="1">
      <alignment horizontal="center" vertical="top" wrapText="1" readingOrder="1"/>
    </xf>
    <xf numFmtId="0" fontId="29" fillId="10" borderId="10" xfId="0" applyFont="1" applyFill="1" applyBorder="1" applyAlignment="1">
      <alignment horizontal="center" vertical="top" wrapText="1" readingOrder="1"/>
    </xf>
    <xf numFmtId="0" fontId="29" fillId="4" borderId="20" xfId="0" applyFont="1" applyFill="1" applyBorder="1" applyAlignment="1">
      <alignment horizontal="left" vertical="top" wrapText="1" readingOrder="1"/>
    </xf>
    <xf numFmtId="0" fontId="29" fillId="4" borderId="11" xfId="0" applyFont="1" applyFill="1" applyBorder="1" applyAlignment="1">
      <alignment horizontal="left" vertical="top" wrapText="1" readingOrder="1"/>
    </xf>
    <xf numFmtId="0" fontId="9" fillId="0" borderId="18" xfId="0" applyFont="1" applyBorder="1" applyAlignment="1">
      <alignment horizontal="left" vertical="top" wrapText="1" readingOrder="1"/>
    </xf>
    <xf numFmtId="0" fontId="9" fillId="0" borderId="50" xfId="0" applyFont="1" applyBorder="1" applyAlignment="1">
      <alignment horizontal="left" vertical="top" wrapText="1" readingOrder="1"/>
    </xf>
    <xf numFmtId="0" fontId="9" fillId="0" borderId="16" xfId="0" applyFont="1" applyBorder="1" applyAlignment="1">
      <alignment horizontal="left" vertical="top" wrapText="1" readingOrder="1"/>
    </xf>
    <xf numFmtId="0" fontId="9" fillId="0" borderId="12" xfId="0" applyFont="1" applyBorder="1" applyAlignment="1">
      <alignment horizontal="left" vertical="top" wrapText="1" readingOrder="1"/>
    </xf>
    <xf numFmtId="0" fontId="29" fillId="16" borderId="7" xfId="0" applyFont="1" applyFill="1" applyBorder="1" applyAlignment="1">
      <alignment horizontal="center" vertical="top" wrapText="1" readingOrder="1"/>
    </xf>
    <xf numFmtId="0" fontId="29" fillId="16" borderId="13" xfId="0" applyFont="1" applyFill="1" applyBorder="1" applyAlignment="1">
      <alignment horizontal="center" vertical="top" wrapText="1" readingOrder="1"/>
    </xf>
    <xf numFmtId="0" fontId="29" fillId="13" borderId="113" xfId="0" applyFont="1" applyFill="1" applyBorder="1" applyAlignment="1">
      <alignment horizontal="center" vertical="top" wrapText="1" readingOrder="1"/>
    </xf>
    <xf numFmtId="0" fontId="29" fillId="13" borderId="116" xfId="0" applyFont="1" applyFill="1" applyBorder="1" applyAlignment="1">
      <alignment horizontal="center" vertical="top" wrapText="1" readingOrder="1"/>
    </xf>
    <xf numFmtId="0" fontId="29" fillId="13" borderId="118" xfId="0" applyFont="1" applyFill="1" applyBorder="1" applyAlignment="1">
      <alignment horizontal="center" vertical="top" wrapText="1" readingOrder="1"/>
    </xf>
    <xf numFmtId="0" fontId="9" fillId="0" borderId="17" xfId="0" applyFont="1" applyBorder="1" applyAlignment="1">
      <alignment horizontal="left" vertical="top" wrapText="1" readingOrder="1"/>
    </xf>
    <xf numFmtId="0" fontId="9" fillId="0" borderId="21" xfId="0" applyFont="1" applyBorder="1" applyAlignment="1">
      <alignment horizontal="left" vertical="top" wrapText="1" readingOrder="1"/>
    </xf>
    <xf numFmtId="0" fontId="9" fillId="0" borderId="15" xfId="0" applyFont="1" applyBorder="1" applyAlignment="1">
      <alignment horizontal="left" vertical="top" wrapText="1" readingOrder="1"/>
    </xf>
    <xf numFmtId="0" fontId="9" fillId="0" borderId="19" xfId="0" applyFont="1" applyBorder="1" applyAlignment="1">
      <alignment horizontal="left" vertical="top" wrapText="1" readingOrder="1"/>
    </xf>
    <xf numFmtId="0" fontId="29" fillId="16" borderId="116" xfId="0" applyFont="1" applyFill="1" applyBorder="1" applyAlignment="1">
      <alignment horizontal="center" vertical="top" wrapText="1" readingOrder="1"/>
    </xf>
    <xf numFmtId="0" fontId="29" fillId="16" borderId="118" xfId="0" applyFont="1" applyFill="1" applyBorder="1" applyAlignment="1">
      <alignment horizontal="center" vertical="top" wrapText="1" readingOrder="1"/>
    </xf>
    <xf numFmtId="0" fontId="38" fillId="0" borderId="19" xfId="0" applyFont="1" applyBorder="1" applyAlignment="1">
      <alignment horizontal="left" vertical="top" wrapText="1" readingOrder="1"/>
    </xf>
    <xf numFmtId="0" fontId="38" fillId="0" borderId="17" xfId="0" applyFont="1" applyBorder="1" applyAlignment="1">
      <alignment horizontal="left" vertical="top" wrapText="1" readingOrder="1"/>
    </xf>
    <xf numFmtId="0" fontId="38" fillId="0" borderId="15" xfId="0" applyFont="1" applyBorder="1" applyAlignment="1">
      <alignment horizontal="left" vertical="top" wrapText="1" readingOrder="1"/>
    </xf>
    <xf numFmtId="0" fontId="9" fillId="5" borderId="17" xfId="0" applyFont="1" applyFill="1" applyBorder="1" applyAlignment="1">
      <alignment horizontal="left" vertical="top" wrapText="1" readingOrder="1"/>
    </xf>
    <xf numFmtId="0" fontId="9" fillId="5" borderId="15" xfId="0" applyFont="1" applyFill="1" applyBorder="1" applyAlignment="1">
      <alignment horizontal="left" vertical="top" wrapText="1" readingOrder="1"/>
    </xf>
    <xf numFmtId="0" fontId="29" fillId="18" borderId="61" xfId="0" applyFont="1" applyFill="1" applyBorder="1" applyAlignment="1">
      <alignment horizontal="center" vertical="top" wrapText="1" readingOrder="1"/>
    </xf>
    <xf numFmtId="0" fontId="29" fillId="18" borderId="19" xfId="0" applyFont="1" applyFill="1" applyBorder="1" applyAlignment="1">
      <alignment horizontal="center" vertical="top" wrapText="1" readingOrder="1"/>
    </xf>
    <xf numFmtId="0" fontId="29" fillId="3" borderId="4" xfId="0" applyFont="1" applyFill="1" applyBorder="1" applyAlignment="1">
      <alignment horizontal="center" vertical="top" wrapText="1" readingOrder="1"/>
    </xf>
    <xf numFmtId="0" fontId="29" fillId="3" borderId="7" xfId="0" applyFont="1" applyFill="1" applyBorder="1" applyAlignment="1">
      <alignment horizontal="center" vertical="top" wrapText="1" readingOrder="1"/>
    </xf>
    <xf numFmtId="0" fontId="29" fillId="3" borderId="13" xfId="0" applyFont="1" applyFill="1" applyBorder="1" applyAlignment="1">
      <alignment horizontal="center" vertical="top" wrapText="1" readingOrder="1"/>
    </xf>
    <xf numFmtId="0" fontId="29" fillId="4" borderId="19" xfId="0" applyFont="1" applyFill="1" applyBorder="1" applyAlignment="1">
      <alignment horizontal="left" vertical="top" wrapText="1" readingOrder="1"/>
    </xf>
    <xf numFmtId="0" fontId="29" fillId="19" borderId="10" xfId="0" applyFont="1" applyFill="1" applyBorder="1" applyAlignment="1">
      <alignment horizontal="center" vertical="top" wrapText="1" readingOrder="1"/>
    </xf>
    <xf numFmtId="0" fontId="29" fillId="19" borderId="11" xfId="0" applyFont="1" applyFill="1" applyBorder="1" applyAlignment="1">
      <alignment horizontal="center" vertical="top" wrapText="1" readingOrder="1"/>
    </xf>
    <xf numFmtId="0" fontId="29" fillId="19" borderId="30" xfId="0" applyFont="1" applyFill="1" applyBorder="1" applyAlignment="1">
      <alignment horizontal="center" vertical="top" wrapText="1" readingOrder="1"/>
    </xf>
    <xf numFmtId="0" fontId="29" fillId="4" borderId="102" xfId="0" applyFont="1" applyFill="1" applyBorder="1" applyAlignment="1">
      <alignment horizontal="left" vertical="top" wrapText="1" readingOrder="1"/>
    </xf>
    <xf numFmtId="0" fontId="29" fillId="4" borderId="103" xfId="0" applyFont="1" applyFill="1" applyBorder="1" applyAlignment="1">
      <alignment horizontal="left" vertical="top" wrapText="1" readingOrder="1"/>
    </xf>
    <xf numFmtId="0" fontId="29" fillId="19" borderId="8" xfId="0" applyFont="1" applyFill="1" applyBorder="1" applyAlignment="1">
      <alignment horizontal="center" vertical="top" wrapText="1" readingOrder="1"/>
    </xf>
    <xf numFmtId="0" fontId="29" fillId="19" borderId="9" xfId="0" applyFont="1" applyFill="1" applyBorder="1" applyAlignment="1">
      <alignment horizontal="center" vertical="top" wrapText="1" readingOrder="1"/>
    </xf>
    <xf numFmtId="3" fontId="12" fillId="7" borderId="7" xfId="0" applyNumberFormat="1" applyFont="1" applyFill="1" applyBorder="1" applyAlignment="1">
      <alignment horizontal="center" vertical="center" wrapText="1"/>
    </xf>
    <xf numFmtId="3" fontId="12" fillId="7" borderId="13" xfId="0" applyNumberFormat="1" applyFont="1" applyFill="1" applyBorder="1" applyAlignment="1">
      <alignment horizontal="center" vertical="center" wrapText="1"/>
    </xf>
    <xf numFmtId="3" fontId="11" fillId="7" borderId="73" xfId="0" applyNumberFormat="1" applyFont="1" applyFill="1" applyBorder="1" applyAlignment="1">
      <alignment horizontal="center" vertical="center" wrapText="1"/>
    </xf>
    <xf numFmtId="3" fontId="11" fillId="7" borderId="130" xfId="0" applyNumberFormat="1" applyFont="1" applyFill="1" applyBorder="1" applyAlignment="1">
      <alignment horizontal="center" vertical="center" wrapText="1"/>
    </xf>
    <xf numFmtId="3" fontId="11" fillId="7" borderId="14" xfId="0" applyNumberFormat="1" applyFont="1" applyFill="1" applyBorder="1" applyAlignment="1">
      <alignment horizontal="center" vertical="center" wrapText="1"/>
    </xf>
    <xf numFmtId="3" fontId="11" fillId="7" borderId="12" xfId="0" applyNumberFormat="1" applyFont="1" applyFill="1" applyBorder="1" applyAlignment="1">
      <alignment horizontal="center" vertical="center"/>
    </xf>
    <xf numFmtId="0" fontId="29" fillId="10" borderId="11" xfId="0" applyFont="1" applyFill="1" applyBorder="1" applyAlignment="1">
      <alignment horizontal="center" vertical="top" wrapText="1" readingOrder="1"/>
    </xf>
    <xf numFmtId="0" fontId="29" fillId="10" borderId="53" xfId="0" applyFont="1" applyFill="1" applyBorder="1" applyAlignment="1">
      <alignment horizontal="center" vertical="top" wrapText="1" readingOrder="1"/>
    </xf>
    <xf numFmtId="0" fontId="29" fillId="9" borderId="10" xfId="0" applyFont="1" applyFill="1" applyBorder="1" applyAlignment="1">
      <alignment horizontal="center" vertical="top" wrapText="1" readingOrder="1"/>
    </xf>
    <xf numFmtId="0" fontId="29" fillId="4" borderId="47" xfId="0" applyFont="1" applyFill="1" applyBorder="1" applyAlignment="1">
      <alignment horizontal="left" vertical="top" wrapText="1" readingOrder="1"/>
    </xf>
    <xf numFmtId="0" fontId="29" fillId="9" borderId="54" xfId="0" applyFont="1" applyFill="1" applyBorder="1" applyAlignment="1">
      <alignment horizontal="center" vertical="top" wrapText="1" readingOrder="1"/>
    </xf>
    <xf numFmtId="0" fontId="29" fillId="9" borderId="55" xfId="0" applyFont="1" applyFill="1" applyBorder="1" applyAlignment="1">
      <alignment horizontal="center" vertical="top" wrapText="1" readingOrder="1"/>
    </xf>
    <xf numFmtId="0" fontId="29" fillId="0" borderId="17" xfId="0" applyFont="1" applyBorder="1" applyAlignment="1">
      <alignment horizontal="left" vertical="top" wrapText="1" readingOrder="1"/>
    </xf>
    <xf numFmtId="0" fontId="29" fillId="0" borderId="18" xfId="0" applyFont="1" applyBorder="1" applyAlignment="1">
      <alignment horizontal="left" vertical="top" wrapText="1" readingOrder="1"/>
    </xf>
    <xf numFmtId="0" fontId="29" fillId="0" borderId="66" xfId="0" applyFont="1" applyBorder="1" applyAlignment="1">
      <alignment horizontal="left" vertical="top" wrapText="1" readingOrder="1"/>
    </xf>
    <xf numFmtId="0" fontId="29" fillId="0" borderId="85" xfId="0" applyFont="1" applyBorder="1" applyAlignment="1">
      <alignment horizontal="left" vertical="top" wrapText="1" readingOrder="1"/>
    </xf>
    <xf numFmtId="0" fontId="29" fillId="0" borderId="94" xfId="0" applyFont="1" applyBorder="1" applyAlignment="1">
      <alignment horizontal="left" vertical="top" wrapText="1" readingOrder="1"/>
    </xf>
    <xf numFmtId="0" fontId="29" fillId="3" borderId="16" xfId="0" applyFont="1" applyFill="1" applyBorder="1" applyAlignment="1">
      <alignment horizontal="center" vertical="top" wrapText="1" readingOrder="1"/>
    </xf>
    <xf numFmtId="0" fontId="29" fillId="4" borderId="90" xfId="0" applyFont="1" applyFill="1" applyBorder="1" applyAlignment="1">
      <alignment horizontal="left" vertical="top" wrapText="1" readingOrder="1"/>
    </xf>
    <xf numFmtId="0" fontId="29" fillId="4" borderId="81" xfId="0" applyFont="1" applyFill="1" applyBorder="1" applyAlignment="1">
      <alignment horizontal="left" vertical="top" wrapText="1" readingOrder="1"/>
    </xf>
    <xf numFmtId="0" fontId="29" fillId="4" borderId="96" xfId="0" applyFont="1" applyFill="1" applyBorder="1" applyAlignment="1">
      <alignment horizontal="left" vertical="top" wrapText="1" readingOrder="1"/>
    </xf>
    <xf numFmtId="0" fontId="9" fillId="0" borderId="86" xfId="0" applyFont="1" applyBorder="1" applyAlignment="1">
      <alignment horizontal="left" vertical="top" wrapText="1" readingOrder="1"/>
    </xf>
    <xf numFmtId="0" fontId="9" fillId="0" borderId="87" xfId="0" applyFont="1" applyBorder="1" applyAlignment="1">
      <alignment horizontal="left" vertical="top" wrapText="1" readingOrder="1"/>
    </xf>
    <xf numFmtId="0" fontId="9" fillId="0" borderId="88" xfId="0" applyFont="1" applyBorder="1" applyAlignment="1">
      <alignment horizontal="left" vertical="top" wrapText="1" readingOrder="1"/>
    </xf>
    <xf numFmtId="0" fontId="9" fillId="6" borderId="17" xfId="0" applyFont="1" applyFill="1" applyBorder="1" applyAlignment="1">
      <alignment horizontal="center" vertical="top" wrapText="1" readingOrder="1"/>
    </xf>
    <xf numFmtId="0" fontId="9" fillId="6" borderId="15" xfId="0" applyFont="1" applyFill="1" applyBorder="1" applyAlignment="1">
      <alignment horizontal="center" vertical="top" wrapText="1" readingOrder="1"/>
    </xf>
    <xf numFmtId="0" fontId="29" fillId="18" borderId="10" xfId="0" applyFont="1" applyFill="1" applyBorder="1" applyAlignment="1">
      <alignment horizontal="center" vertical="top" wrapText="1" readingOrder="1"/>
    </xf>
    <xf numFmtId="0" fontId="35" fillId="6" borderId="18" xfId="0" applyFont="1" applyFill="1" applyBorder="1" applyAlignment="1">
      <alignment horizontal="left" vertical="top" wrapText="1" readingOrder="1"/>
    </xf>
    <xf numFmtId="0" fontId="29" fillId="9" borderId="13" xfId="0" applyFont="1" applyFill="1" applyBorder="1" applyAlignment="1">
      <alignment horizontal="center" vertical="top" wrapText="1" readingOrder="1"/>
    </xf>
    <xf numFmtId="0" fontId="9" fillId="6" borderId="48" xfId="0" applyFont="1" applyFill="1" applyBorder="1" applyAlignment="1">
      <alignment horizontal="left" vertical="top" wrapText="1" readingOrder="1"/>
    </xf>
    <xf numFmtId="0" fontId="9" fillId="6" borderId="47" xfId="0" applyFont="1" applyFill="1" applyBorder="1" applyAlignment="1">
      <alignment horizontal="left" vertical="top" wrapText="1" readingOrder="1"/>
    </xf>
    <xf numFmtId="0" fontId="9" fillId="6" borderId="49" xfId="0" applyFont="1" applyFill="1" applyBorder="1" applyAlignment="1">
      <alignment horizontal="left" vertical="top" wrapText="1" readingOrder="1"/>
    </xf>
    <xf numFmtId="0" fontId="29" fillId="11" borderId="12" xfId="0" applyFont="1" applyFill="1" applyBorder="1" applyAlignment="1">
      <alignment horizontal="center" vertical="top" wrapText="1" readingOrder="1"/>
    </xf>
    <xf numFmtId="0" fontId="29" fillId="11" borderId="14" xfId="0" applyFont="1" applyFill="1" applyBorder="1" applyAlignment="1">
      <alignment horizontal="center" vertical="top" wrapText="1" readingOrder="1"/>
    </xf>
    <xf numFmtId="0" fontId="29" fillId="18" borderId="31" xfId="0" applyFont="1" applyFill="1" applyBorder="1" applyAlignment="1">
      <alignment horizontal="center" vertical="top" wrapText="1" readingOrder="1"/>
    </xf>
    <xf numFmtId="0" fontId="29" fillId="18" borderId="108" xfId="0" applyFont="1" applyFill="1" applyBorder="1" applyAlignment="1">
      <alignment horizontal="center" vertical="top" wrapText="1" readingOrder="1"/>
    </xf>
    <xf numFmtId="0" fontId="29" fillId="3" borderId="31" xfId="0" applyFont="1" applyFill="1" applyBorder="1" applyAlignment="1">
      <alignment horizontal="center" vertical="top" wrapText="1" readingOrder="1"/>
    </xf>
    <xf numFmtId="0" fontId="29" fillId="3" borderId="33" xfId="0" applyFont="1" applyFill="1" applyBorder="1" applyAlignment="1">
      <alignment horizontal="center" vertical="top" wrapText="1" readingOrder="1"/>
    </xf>
    <xf numFmtId="0" fontId="29" fillId="16" borderId="12" xfId="0" applyFont="1" applyFill="1" applyBorder="1" applyAlignment="1">
      <alignment horizontal="center" vertical="top" wrapText="1" readingOrder="1"/>
    </xf>
    <xf numFmtId="0" fontId="29" fillId="16" borderId="10" xfId="0" applyFont="1" applyFill="1" applyBorder="1" applyAlignment="1">
      <alignment horizontal="center" vertical="top" wrapText="1" readingOrder="1"/>
    </xf>
    <xf numFmtId="0" fontId="29" fillId="4" borderId="67" xfId="0" applyFont="1" applyFill="1" applyBorder="1" applyAlignment="1">
      <alignment horizontal="left" vertical="top" wrapText="1" readingOrder="1"/>
    </xf>
    <xf numFmtId="0" fontId="29" fillId="17" borderId="12" xfId="0" applyFont="1" applyFill="1" applyBorder="1" applyAlignment="1">
      <alignment horizontal="center" vertical="top" wrapText="1" readingOrder="1"/>
    </xf>
    <xf numFmtId="0" fontId="29" fillId="17" borderId="8" xfId="0" applyFont="1" applyFill="1" applyBorder="1" applyAlignment="1">
      <alignment horizontal="center" vertical="top" wrapText="1" readingOrder="1"/>
    </xf>
    <xf numFmtId="0" fontId="29" fillId="4" borderId="66" xfId="0" applyFont="1" applyFill="1" applyBorder="1" applyAlignment="1">
      <alignment horizontal="left" vertical="top" wrapText="1" readingOrder="1"/>
    </xf>
    <xf numFmtId="0" fontId="29" fillId="16" borderId="14" xfId="0" applyFont="1" applyFill="1" applyBorder="1" applyAlignment="1">
      <alignment horizontal="center" vertical="top" wrapText="1" readingOrder="1"/>
    </xf>
    <xf numFmtId="0" fontId="38" fillId="0" borderId="18" xfId="0" applyFont="1" applyBorder="1" applyAlignment="1">
      <alignment horizontal="left" vertical="top" wrapText="1" readingOrder="1"/>
    </xf>
    <xf numFmtId="0" fontId="38" fillId="0" borderId="50" xfId="0" applyFont="1" applyBorder="1" applyAlignment="1">
      <alignment horizontal="left" vertical="top" wrapText="1" readingOrder="1"/>
    </xf>
    <xf numFmtId="0" fontId="38" fillId="0" borderId="16" xfId="0" applyFont="1" applyBorder="1" applyAlignment="1">
      <alignment horizontal="left" vertical="top" wrapText="1" readingOrder="1"/>
    </xf>
    <xf numFmtId="0" fontId="35" fillId="0" borderId="18" xfId="0" applyFont="1" applyBorder="1" applyAlignment="1">
      <alignment horizontal="left" vertical="top" wrapText="1" readingOrder="1"/>
    </xf>
    <xf numFmtId="0" fontId="29" fillId="16" borderId="122" xfId="0" applyFont="1" applyFill="1" applyBorder="1" applyAlignment="1">
      <alignment horizontal="center" vertical="top" wrapText="1" readingOrder="1"/>
    </xf>
    <xf numFmtId="0" fontId="29" fillId="16" borderId="123" xfId="0" applyFont="1" applyFill="1" applyBorder="1" applyAlignment="1">
      <alignment horizontal="center" vertical="top" wrapText="1" readingOrder="1"/>
    </xf>
    <xf numFmtId="0" fontId="29" fillId="14" borderId="7" xfId="0" applyFont="1" applyFill="1" applyBorder="1" applyAlignment="1">
      <alignment horizontal="center" vertical="top" wrapText="1" readingOrder="1"/>
    </xf>
    <xf numFmtId="0" fontId="29" fillId="14" borderId="12" xfId="0" applyFont="1" applyFill="1" applyBorder="1" applyAlignment="1">
      <alignment horizontal="center" vertical="top" wrapText="1" readingOrder="1"/>
    </xf>
    <xf numFmtId="0" fontId="29" fillId="14" borderId="10" xfId="0" applyFont="1" applyFill="1" applyBorder="1" applyAlignment="1">
      <alignment horizontal="center" vertical="top" wrapText="1" readingOrder="1"/>
    </xf>
    <xf numFmtId="0" fontId="29" fillId="13" borderId="12" xfId="0" applyFont="1" applyFill="1" applyBorder="1" applyAlignment="1">
      <alignment horizontal="center" vertical="top" wrapText="1" readingOrder="1"/>
    </xf>
    <xf numFmtId="0" fontId="29" fillId="13" borderId="66" xfId="0" applyFont="1" applyFill="1" applyBorder="1" applyAlignment="1">
      <alignment horizontal="center" vertical="top" wrapText="1" readingOrder="1"/>
    </xf>
    <xf numFmtId="0" fontId="29" fillId="15" borderId="19" xfId="0" applyFont="1" applyFill="1" applyBorder="1" applyAlignment="1">
      <alignment horizontal="left" vertical="top" wrapText="1" readingOrder="1"/>
    </xf>
    <xf numFmtId="0" fontId="29" fillId="15" borderId="12" xfId="0" applyFont="1" applyFill="1" applyBorder="1" applyAlignment="1">
      <alignment horizontal="left" vertical="top" wrapText="1" readingOrder="1"/>
    </xf>
    <xf numFmtId="0" fontId="29" fillId="15" borderId="10" xfId="0" applyFont="1" applyFill="1" applyBorder="1" applyAlignment="1">
      <alignment horizontal="left" vertical="top" wrapText="1" readingOrder="1"/>
    </xf>
    <xf numFmtId="0" fontId="29" fillId="16" borderId="113" xfId="0" applyFont="1" applyFill="1" applyBorder="1" applyAlignment="1">
      <alignment horizontal="center" vertical="top" wrapText="1" readingOrder="1"/>
    </xf>
    <xf numFmtId="0" fontId="29" fillId="16" borderId="114" xfId="0" applyFont="1" applyFill="1" applyBorder="1" applyAlignment="1">
      <alignment horizontal="center" vertical="top" wrapText="1" readingOrder="1"/>
    </xf>
    <xf numFmtId="0" fontId="29" fillId="16" borderId="121" xfId="0" applyFont="1" applyFill="1" applyBorder="1" applyAlignment="1">
      <alignment horizontal="center" vertical="top" wrapText="1" readingOrder="1"/>
    </xf>
    <xf numFmtId="0" fontId="29" fillId="17" borderId="7" xfId="0" applyFont="1" applyFill="1" applyBorder="1" applyAlignment="1">
      <alignment horizontal="center" vertical="top" wrapText="1" readingOrder="1"/>
    </xf>
    <xf numFmtId="0" fontId="29" fillId="17" borderId="10" xfId="0" applyFont="1" applyFill="1" applyBorder="1" applyAlignment="1">
      <alignment horizontal="center" vertical="top" wrapText="1" readingOrder="1"/>
    </xf>
    <xf numFmtId="0" fontId="29" fillId="13" borderId="14" xfId="0" applyFont="1" applyFill="1" applyBorder="1" applyAlignment="1">
      <alignment horizontal="center" vertical="top" wrapText="1" readingOrder="1"/>
    </xf>
    <xf numFmtId="0" fontId="29" fillId="13" borderId="18" xfId="0" applyFont="1" applyFill="1" applyBorder="1" applyAlignment="1">
      <alignment horizontal="center" vertical="top" wrapText="1" readingOrder="1"/>
    </xf>
    <xf numFmtId="0" fontId="29" fillId="13" borderId="107" xfId="0" applyFont="1" applyFill="1" applyBorder="1" applyAlignment="1">
      <alignment horizontal="center" vertical="top" wrapText="1" readingOrder="1"/>
    </xf>
    <xf numFmtId="0" fontId="29" fillId="13" borderId="54" xfId="0" applyFont="1" applyFill="1" applyBorder="1" applyAlignment="1">
      <alignment horizontal="center" vertical="top" wrapText="1" readingOrder="1"/>
    </xf>
    <xf numFmtId="0" fontId="29" fillId="13" borderId="55" xfId="0" applyFont="1" applyFill="1" applyBorder="1" applyAlignment="1">
      <alignment horizontal="center" vertical="top" wrapText="1" readingOrder="1"/>
    </xf>
    <xf numFmtId="0" fontId="9" fillId="0" borderId="31" xfId="0" applyFont="1" applyBorder="1" applyAlignment="1">
      <alignment horizontal="left" vertical="top" wrapText="1" readingOrder="1"/>
    </xf>
    <xf numFmtId="0" fontId="9" fillId="0" borderId="108" xfId="0" applyFont="1" applyBorder="1" applyAlignment="1">
      <alignment horizontal="left" vertical="top" wrapText="1" readingOrder="1"/>
    </xf>
    <xf numFmtId="0" fontId="29" fillId="13" borderId="7" xfId="0" applyFont="1" applyFill="1" applyBorder="1" applyAlignment="1">
      <alignment horizontal="center" vertical="top" wrapText="1" readingOrder="1"/>
    </xf>
    <xf numFmtId="0" fontId="29" fillId="13" borderId="13" xfId="0" applyFont="1" applyFill="1" applyBorder="1" applyAlignment="1">
      <alignment horizontal="center" vertical="top" wrapText="1" readingOrder="1"/>
    </xf>
    <xf numFmtId="0" fontId="7" fillId="13" borderId="112" xfId="0" applyFont="1" applyFill="1" applyBorder="1" applyAlignment="1">
      <alignment horizontal="center" vertical="top" wrapText="1" readingOrder="1"/>
    </xf>
    <xf numFmtId="0" fontId="7" fillId="13" borderId="6" xfId="0" applyFont="1" applyFill="1" applyBorder="1" applyAlignment="1">
      <alignment horizontal="center" vertical="top" wrapText="1" readingOrder="1"/>
    </xf>
    <xf numFmtId="0" fontId="7" fillId="13" borderId="51" xfId="0" applyFont="1" applyFill="1" applyBorder="1" applyAlignment="1">
      <alignment horizontal="center" vertical="top" wrapText="1" readingOrder="1"/>
    </xf>
    <xf numFmtId="0" fontId="7" fillId="13" borderId="115" xfId="0" applyFont="1" applyFill="1" applyBorder="1" applyAlignment="1">
      <alignment horizontal="center" vertical="top" wrapText="1" readingOrder="1"/>
    </xf>
    <xf numFmtId="0" fontId="7" fillId="13" borderId="9" xfId="0" applyFont="1" applyFill="1" applyBorder="1" applyAlignment="1">
      <alignment horizontal="center" vertical="top" wrapText="1" readingOrder="1"/>
    </xf>
    <xf numFmtId="0" fontId="7" fillId="13" borderId="52" xfId="0" applyFont="1" applyFill="1" applyBorder="1" applyAlignment="1">
      <alignment horizontal="center" vertical="top" wrapText="1" readingOrder="1"/>
    </xf>
    <xf numFmtId="0" fontId="8" fillId="0" borderId="12" xfId="0" applyFont="1" applyBorder="1" applyAlignment="1">
      <alignment horizontal="left" vertical="top" wrapText="1" readingOrder="1"/>
    </xf>
    <xf numFmtId="0" fontId="7" fillId="13" borderId="12" xfId="0" applyFont="1" applyFill="1" applyBorder="1" applyAlignment="1">
      <alignment horizontal="center" vertical="top" wrapText="1" readingOrder="1"/>
    </xf>
    <xf numFmtId="0" fontId="7" fillId="13" borderId="14" xfId="0" applyFont="1" applyFill="1" applyBorder="1" applyAlignment="1">
      <alignment horizontal="center" vertical="top" wrapText="1" readingOrder="1"/>
    </xf>
    <xf numFmtId="0" fontId="7" fillId="11" borderId="12" xfId="0" applyFont="1" applyFill="1" applyBorder="1" applyAlignment="1">
      <alignment horizontal="center" vertical="top" wrapText="1" readingOrder="1"/>
    </xf>
    <xf numFmtId="0" fontId="7" fillId="11" borderId="14" xfId="0" applyFont="1" applyFill="1" applyBorder="1" applyAlignment="1">
      <alignment horizontal="center" vertical="top" wrapText="1" readingOrder="1"/>
    </xf>
    <xf numFmtId="0" fontId="7" fillId="13" borderId="54" xfId="0" applyFont="1" applyFill="1" applyBorder="1" applyAlignment="1">
      <alignment horizontal="center" vertical="top" wrapText="1" readingOrder="1"/>
    </xf>
    <xf numFmtId="0" fontId="7" fillId="13" borderId="55" xfId="0" applyFont="1" applyFill="1" applyBorder="1" applyAlignment="1">
      <alignment horizontal="center" vertical="top" wrapText="1" readingOrder="1"/>
    </xf>
    <xf numFmtId="0" fontId="7" fillId="4" borderId="19" xfId="0" applyFont="1" applyFill="1" applyBorder="1" applyAlignment="1">
      <alignment horizontal="left" vertical="top" wrapText="1" readingOrder="1"/>
    </xf>
    <xf numFmtId="0" fontId="7" fillId="4" borderId="12" xfId="0" applyFont="1" applyFill="1" applyBorder="1" applyAlignment="1">
      <alignment horizontal="left" vertical="top" wrapText="1" readingOrder="1"/>
    </xf>
    <xf numFmtId="0" fontId="7" fillId="4" borderId="10" xfId="0" applyFont="1" applyFill="1" applyBorder="1" applyAlignment="1">
      <alignment horizontal="left" vertical="top" wrapText="1" readingOrder="1"/>
    </xf>
    <xf numFmtId="0" fontId="7" fillId="14" borderId="12" xfId="0" applyFont="1" applyFill="1" applyBorder="1" applyAlignment="1">
      <alignment horizontal="center" vertical="top" wrapText="1" readingOrder="1"/>
    </xf>
    <xf numFmtId="0" fontId="7" fillId="14" borderId="10" xfId="0" applyFont="1" applyFill="1" applyBorder="1" applyAlignment="1">
      <alignment horizontal="center" vertical="top" wrapText="1" readingOrder="1"/>
    </xf>
    <xf numFmtId="0" fontId="7" fillId="15" borderId="19" xfId="0" applyFont="1" applyFill="1" applyBorder="1" applyAlignment="1">
      <alignment horizontal="left" vertical="top" wrapText="1" readingOrder="1"/>
    </xf>
    <xf numFmtId="0" fontId="7" fillId="15" borderId="12" xfId="0" applyFont="1" applyFill="1" applyBorder="1" applyAlignment="1">
      <alignment horizontal="left" vertical="top" wrapText="1" readingOrder="1"/>
    </xf>
    <xf numFmtId="0" fontId="7" fillId="15" borderId="10" xfId="0" applyFont="1" applyFill="1" applyBorder="1" applyAlignment="1">
      <alignment horizontal="left" vertical="top" wrapText="1" readingOrder="1"/>
    </xf>
    <xf numFmtId="0" fontId="7" fillId="13" borderId="116" xfId="0" applyFont="1" applyFill="1" applyBorder="1" applyAlignment="1">
      <alignment horizontal="center" vertical="top" wrapText="1" readingOrder="1"/>
    </xf>
    <xf numFmtId="0" fontId="7" fillId="13" borderId="118" xfId="0" applyFont="1" applyFill="1" applyBorder="1" applyAlignment="1">
      <alignment horizontal="center" vertical="top" wrapText="1" readingOrder="1"/>
    </xf>
    <xf numFmtId="0" fontId="8" fillId="0" borderId="19" xfId="0" applyFont="1" applyBorder="1" applyAlignment="1">
      <alignment horizontal="left" vertical="top" wrapText="1" readingOrder="1"/>
    </xf>
    <xf numFmtId="0" fontId="7" fillId="13" borderId="7" xfId="0" applyFont="1" applyFill="1" applyBorder="1" applyAlignment="1">
      <alignment horizontal="center" vertical="top" wrapText="1" readingOrder="1"/>
    </xf>
    <xf numFmtId="0" fontId="7" fillId="13" borderId="13" xfId="0" applyFont="1" applyFill="1" applyBorder="1" applyAlignment="1">
      <alignment horizontal="center" vertical="top" wrapText="1" readingOrder="1"/>
    </xf>
    <xf numFmtId="0" fontId="3" fillId="0" borderId="0" xfId="0" applyFont="1" applyAlignment="1">
      <alignment horizontal="left" vertical="top" wrapText="1"/>
    </xf>
    <xf numFmtId="0" fontId="1" fillId="0" borderId="0" xfId="0" applyFont="1" applyAlignment="1">
      <alignment horizontal="left" vertical="top" wrapText="1"/>
    </xf>
    <xf numFmtId="0" fontId="1" fillId="0" borderId="23" xfId="0" applyFont="1" applyBorder="1" applyAlignment="1">
      <alignment horizontal="left" vertical="top" wrapText="1"/>
    </xf>
    <xf numFmtId="0" fontId="7" fillId="14" borderId="7" xfId="0" applyFont="1" applyFill="1" applyBorder="1" applyAlignment="1">
      <alignment horizontal="center" vertical="top" wrapText="1" readingOrder="1"/>
    </xf>
    <xf numFmtId="0" fontId="7" fillId="13" borderId="66" xfId="0" applyFont="1" applyFill="1" applyBorder="1" applyAlignment="1">
      <alignment horizontal="center" vertical="top" wrapText="1" readingOrder="1"/>
    </xf>
    <xf numFmtId="0" fontId="7" fillId="4" borderId="15" xfId="0" applyFont="1" applyFill="1" applyBorder="1" applyAlignment="1">
      <alignment horizontal="left" vertical="top" wrapText="1" readingOrder="1"/>
    </xf>
    <xf numFmtId="0" fontId="7" fillId="4" borderId="16" xfId="0" applyFont="1" applyFill="1" applyBorder="1" applyAlignment="1">
      <alignment horizontal="left" vertical="top" wrapText="1" readingOrder="1"/>
    </xf>
    <xf numFmtId="0" fontId="7" fillId="4" borderId="8" xfId="0" applyFont="1" applyFill="1" applyBorder="1" applyAlignment="1">
      <alignment horizontal="left" vertical="top" wrapText="1" readingOrder="1"/>
    </xf>
    <xf numFmtId="0" fontId="7" fillId="13" borderId="113" xfId="0" applyFont="1" applyFill="1" applyBorder="1" applyAlignment="1">
      <alignment horizontal="center" vertical="top" wrapText="1" readingOrder="1"/>
    </xf>
    <xf numFmtId="0" fontId="7" fillId="13" borderId="18" xfId="0" applyFont="1" applyFill="1" applyBorder="1" applyAlignment="1">
      <alignment horizontal="center" vertical="top" wrapText="1" readingOrder="1"/>
    </xf>
    <xf numFmtId="0" fontId="7" fillId="13" borderId="107" xfId="0" applyFont="1" applyFill="1" applyBorder="1" applyAlignment="1">
      <alignment horizontal="center" vertical="top" wrapText="1" readingOrder="1"/>
    </xf>
    <xf numFmtId="0" fontId="3" fillId="0" borderId="0" xfId="0" applyFont="1" applyAlignment="1">
      <alignment horizontal="left" vertical="top"/>
    </xf>
    <xf numFmtId="0" fontId="1" fillId="0" borderId="0" xfId="0" applyFont="1" applyAlignment="1">
      <alignment horizontal="left" vertical="top"/>
    </xf>
    <xf numFmtId="0" fontId="1" fillId="0" borderId="23" xfId="0" applyFont="1" applyBorder="1" applyAlignment="1">
      <alignment horizontal="left" vertical="top"/>
    </xf>
    <xf numFmtId="0" fontId="29" fillId="0" borderId="0" xfId="0" applyFont="1" applyAlignment="1">
      <alignment horizontal="left" vertical="top"/>
    </xf>
    <xf numFmtId="0" fontId="9" fillId="0" borderId="0" xfId="0" applyFont="1" applyAlignment="1">
      <alignment horizontal="left" vertical="top"/>
    </xf>
    <xf numFmtId="0" fontId="9" fillId="0" borderId="23" xfId="0" applyFont="1" applyBorder="1" applyAlignment="1">
      <alignment horizontal="left" vertical="top"/>
    </xf>
    <xf numFmtId="0" fontId="3" fillId="26" borderId="1" xfId="0" applyFont="1" applyFill="1" applyBorder="1" applyAlignment="1">
      <alignment horizontal="center" vertical="top" wrapText="1"/>
    </xf>
    <xf numFmtId="0" fontId="3" fillId="26" borderId="2" xfId="0" applyFont="1" applyFill="1" applyBorder="1" applyAlignment="1">
      <alignment horizontal="center" vertical="top"/>
    </xf>
    <xf numFmtId="0" fontId="3" fillId="26" borderId="22" xfId="0" applyFont="1" applyFill="1" applyBorder="1" applyAlignment="1">
      <alignment horizontal="center" vertical="top"/>
    </xf>
    <xf numFmtId="0" fontId="7" fillId="16" borderId="7" xfId="0" applyFont="1" applyFill="1" applyBorder="1" applyAlignment="1">
      <alignment horizontal="center" vertical="top" wrapText="1" readingOrder="1"/>
    </xf>
    <xf numFmtId="0" fontId="7" fillId="16" borderId="13" xfId="0" applyFont="1" applyFill="1" applyBorder="1" applyAlignment="1">
      <alignment horizontal="center" vertical="top" wrapText="1" readingOrder="1"/>
    </xf>
    <xf numFmtId="0" fontId="7" fillId="16" borderId="116" xfId="0" applyFont="1" applyFill="1" applyBorder="1" applyAlignment="1">
      <alignment horizontal="center" vertical="top" wrapText="1" readingOrder="1"/>
    </xf>
    <xf numFmtId="0" fontId="7" fillId="16" borderId="118" xfId="0" applyFont="1" applyFill="1" applyBorder="1" applyAlignment="1">
      <alignment horizontal="center" vertical="top" wrapText="1" readingOrder="1"/>
    </xf>
    <xf numFmtId="0" fontId="64" fillId="0" borderId="19" xfId="0" applyFont="1" applyBorder="1" applyAlignment="1">
      <alignment horizontal="left" vertical="top" wrapText="1" readingOrder="1"/>
    </xf>
    <xf numFmtId="0" fontId="37" fillId="0" borderId="17" xfId="0" applyFont="1" applyBorder="1" applyAlignment="1">
      <alignment horizontal="left" vertical="top" wrapText="1" readingOrder="1"/>
    </xf>
    <xf numFmtId="0" fontId="37" fillId="0" borderId="15" xfId="0" applyFont="1" applyBorder="1" applyAlignment="1">
      <alignment horizontal="left" vertical="top" wrapText="1" readingOrder="1"/>
    </xf>
    <xf numFmtId="0" fontId="7" fillId="16" borderId="12" xfId="0" applyFont="1" applyFill="1" applyBorder="1" applyAlignment="1">
      <alignment horizontal="center" vertical="top" wrapText="1" readingOrder="1"/>
    </xf>
    <xf numFmtId="0" fontId="7" fillId="16" borderId="14" xfId="0" applyFont="1" applyFill="1" applyBorder="1" applyAlignment="1">
      <alignment horizontal="center" vertical="top" wrapText="1" readingOrder="1"/>
    </xf>
    <xf numFmtId="0" fontId="7" fillId="17" borderId="12" xfId="0" applyFont="1" applyFill="1" applyBorder="1" applyAlignment="1">
      <alignment horizontal="center" vertical="top" wrapText="1" readingOrder="1"/>
    </xf>
    <xf numFmtId="0" fontId="7" fillId="17" borderId="8" xfId="0" applyFont="1" applyFill="1" applyBorder="1" applyAlignment="1">
      <alignment horizontal="center" vertical="top" wrapText="1" readingOrder="1"/>
    </xf>
    <xf numFmtId="0" fontId="8" fillId="0" borderId="18" xfId="0" applyFont="1" applyBorder="1" applyAlignment="1">
      <alignment horizontal="left" vertical="top" wrapText="1" readingOrder="1"/>
    </xf>
    <xf numFmtId="0" fontId="8" fillId="0" borderId="16" xfId="0" applyFont="1" applyBorder="1" applyAlignment="1">
      <alignment horizontal="left" vertical="top" wrapText="1" readingOrder="1"/>
    </xf>
    <xf numFmtId="0" fontId="7" fillId="16" borderId="113" xfId="0" applyFont="1" applyFill="1" applyBorder="1" applyAlignment="1">
      <alignment horizontal="center" vertical="top" wrapText="1" readingOrder="1"/>
    </xf>
    <xf numFmtId="0" fontId="7" fillId="16" borderId="114" xfId="0" applyFont="1" applyFill="1" applyBorder="1" applyAlignment="1">
      <alignment horizontal="center" vertical="top" wrapText="1" readingOrder="1"/>
    </xf>
    <xf numFmtId="0" fontId="7" fillId="16" borderId="121" xfId="0" applyFont="1" applyFill="1" applyBorder="1" applyAlignment="1">
      <alignment horizontal="center" vertical="top" wrapText="1" readingOrder="1"/>
    </xf>
    <xf numFmtId="0" fontId="7" fillId="17" borderId="7" xfId="0" applyFont="1" applyFill="1" applyBorder="1" applyAlignment="1">
      <alignment horizontal="center" vertical="top" wrapText="1" readingOrder="1"/>
    </xf>
    <xf numFmtId="0" fontId="7" fillId="17" borderId="10" xfId="0" applyFont="1" applyFill="1" applyBorder="1" applyAlignment="1">
      <alignment horizontal="center" vertical="top" wrapText="1" readingOrder="1"/>
    </xf>
    <xf numFmtId="0" fontId="7" fillId="16" borderId="10" xfId="0" applyFont="1" applyFill="1" applyBorder="1" applyAlignment="1">
      <alignment horizontal="center" vertical="top" wrapText="1" readingOrder="1"/>
    </xf>
    <xf numFmtId="0" fontId="7" fillId="16" borderId="122" xfId="0" applyFont="1" applyFill="1" applyBorder="1" applyAlignment="1">
      <alignment horizontal="center" vertical="top" wrapText="1" readingOrder="1"/>
    </xf>
    <xf numFmtId="0" fontId="7" fillId="16" borderId="123" xfId="0" applyFont="1" applyFill="1" applyBorder="1" applyAlignment="1">
      <alignment horizontal="center" vertical="top" wrapText="1" readingOrder="1"/>
    </xf>
    <xf numFmtId="0" fontId="37" fillId="0" borderId="18" xfId="0" applyFont="1" applyBorder="1" applyAlignment="1">
      <alignment horizontal="left" vertical="top" wrapText="1" readingOrder="1"/>
    </xf>
    <xf numFmtId="0" fontId="37" fillId="0" borderId="50" xfId="0" applyFont="1" applyBorder="1" applyAlignment="1">
      <alignment horizontal="left" vertical="top" wrapText="1" readingOrder="1"/>
    </xf>
    <xf numFmtId="0" fontId="37" fillId="0" borderId="16" xfId="0" applyFont="1" applyBorder="1" applyAlignment="1">
      <alignment horizontal="left" vertical="top" wrapText="1" readingOrder="1"/>
    </xf>
    <xf numFmtId="0" fontId="3" fillId="25" borderId="1" xfId="0" applyFont="1" applyFill="1" applyBorder="1" applyAlignment="1">
      <alignment horizontal="center" vertical="center" wrapText="1"/>
    </xf>
    <xf numFmtId="0" fontId="3" fillId="25" borderId="2" xfId="0" applyFont="1" applyFill="1" applyBorder="1" applyAlignment="1">
      <alignment horizontal="center" vertical="center" wrapText="1"/>
    </xf>
    <xf numFmtId="0" fontId="3" fillId="25" borderId="22" xfId="0" applyFont="1" applyFill="1" applyBorder="1" applyAlignment="1">
      <alignment horizontal="center" vertical="center" wrapText="1"/>
    </xf>
    <xf numFmtId="0" fontId="1" fillId="0" borderId="0" xfId="0" applyFont="1" applyAlignment="1">
      <alignment horizontal="left" vertical="center" wrapText="1"/>
    </xf>
    <xf numFmtId="0" fontId="1" fillId="0" borderId="23" xfId="0" applyFont="1" applyBorder="1" applyAlignment="1">
      <alignment horizontal="left" vertical="center" wrapText="1"/>
    </xf>
    <xf numFmtId="0" fontId="3" fillId="18" borderId="62" xfId="0" applyFont="1" applyFill="1" applyBorder="1" applyAlignment="1">
      <alignment horizontal="center" vertical="top" wrapText="1" readingOrder="1"/>
    </xf>
    <xf numFmtId="0" fontId="3" fillId="18" borderId="2" xfId="0" applyFont="1" applyFill="1" applyBorder="1" applyAlignment="1">
      <alignment horizontal="center" vertical="top" wrapText="1" readingOrder="1"/>
    </xf>
    <xf numFmtId="0" fontId="3" fillId="18" borderId="22" xfId="0" applyFont="1" applyFill="1" applyBorder="1" applyAlignment="1">
      <alignment horizontal="center" vertical="top" wrapText="1" readingOrder="1"/>
    </xf>
    <xf numFmtId="0" fontId="3" fillId="18" borderId="8" xfId="0" applyFont="1" applyFill="1" applyBorder="1" applyAlignment="1">
      <alignment horizontal="center" vertical="top" wrapText="1" readingOrder="1"/>
    </xf>
    <xf numFmtId="0" fontId="3" fillId="18" borderId="9" xfId="0" applyFont="1" applyFill="1" applyBorder="1" applyAlignment="1">
      <alignment horizontal="center" vertical="top" wrapText="1" readingOrder="1"/>
    </xf>
    <xf numFmtId="0" fontId="3" fillId="18" borderId="28" xfId="0" applyFont="1" applyFill="1" applyBorder="1" applyAlignment="1">
      <alignment horizontal="center" vertical="top" wrapText="1" readingOrder="1"/>
    </xf>
    <xf numFmtId="0" fontId="3" fillId="4" borderId="102" xfId="0" applyFont="1" applyFill="1" applyBorder="1" applyAlignment="1">
      <alignment horizontal="left" vertical="top" wrapText="1" readingOrder="1"/>
    </xf>
    <xf numFmtId="0" fontId="3" fillId="4" borderId="103" xfId="0" applyFont="1" applyFill="1" applyBorder="1" applyAlignment="1">
      <alignment horizontal="left" vertical="top" wrapText="1" readingOrder="1"/>
    </xf>
    <xf numFmtId="0" fontId="7" fillId="18" borderId="31" xfId="0" applyFont="1" applyFill="1" applyBorder="1" applyAlignment="1">
      <alignment horizontal="center" vertical="top" wrapText="1" readingOrder="1"/>
    </xf>
    <xf numFmtId="0" fontId="7" fillId="18" borderId="108" xfId="0" applyFont="1" applyFill="1" applyBorder="1" applyAlignment="1">
      <alignment horizontal="center" vertical="top" wrapText="1" readingOrder="1"/>
    </xf>
    <xf numFmtId="0" fontId="3" fillId="4" borderId="20" xfId="0" applyFont="1" applyFill="1" applyBorder="1" applyAlignment="1">
      <alignment horizontal="left" vertical="top" wrapText="1" readingOrder="1"/>
    </xf>
    <xf numFmtId="0" fontId="3" fillId="4" borderId="11" xfId="0" applyFont="1" applyFill="1" applyBorder="1" applyAlignment="1">
      <alignment horizontal="left" vertical="top" wrapText="1" readingOrder="1"/>
    </xf>
    <xf numFmtId="0" fontId="7" fillId="18" borderId="19" xfId="0" applyFont="1" applyFill="1" applyBorder="1" applyAlignment="1">
      <alignment horizontal="center" vertical="top" wrapText="1" readingOrder="1"/>
    </xf>
    <xf numFmtId="0" fontId="7" fillId="18" borderId="12" xfId="0" applyFont="1" applyFill="1" applyBorder="1" applyAlignment="1">
      <alignment horizontal="center" vertical="top" wrapText="1" readingOrder="1"/>
    </xf>
    <xf numFmtId="0" fontId="7" fillId="18" borderId="10" xfId="0" applyFont="1" applyFill="1" applyBorder="1" applyAlignment="1">
      <alignment horizontal="center" vertical="top" wrapText="1" readingOrder="1"/>
    </xf>
    <xf numFmtId="0" fontId="3" fillId="4" borderId="19" xfId="0" applyFont="1" applyFill="1" applyBorder="1" applyAlignment="1">
      <alignment horizontal="left" vertical="top" wrapText="1" readingOrder="1"/>
    </xf>
    <xf numFmtId="0" fontId="3" fillId="4" borderId="12" xfId="0" applyFont="1" applyFill="1" applyBorder="1" applyAlignment="1">
      <alignment horizontal="left" vertical="top" wrapText="1" readingOrder="1"/>
    </xf>
    <xf numFmtId="0" fontId="3" fillId="4" borderId="10" xfId="0" applyFont="1" applyFill="1" applyBorder="1" applyAlignment="1">
      <alignment horizontal="left" vertical="top" wrapText="1" readingOrder="1"/>
    </xf>
    <xf numFmtId="0" fontId="7" fillId="18" borderId="61" xfId="0" applyFont="1" applyFill="1" applyBorder="1" applyAlignment="1">
      <alignment horizontal="center" vertical="top" wrapText="1" readingOrder="1"/>
    </xf>
    <xf numFmtId="0" fontId="3" fillId="23" borderId="1" xfId="0" applyFont="1" applyFill="1" applyBorder="1" applyAlignment="1">
      <alignment horizontal="center" vertical="top" wrapText="1"/>
    </xf>
    <xf numFmtId="0" fontId="3" fillId="23" borderId="2" xfId="0" applyFont="1" applyFill="1" applyBorder="1" applyAlignment="1">
      <alignment horizontal="center" vertical="top" wrapText="1"/>
    </xf>
    <xf numFmtId="0" fontId="3" fillId="23" borderId="22" xfId="0" applyFont="1" applyFill="1" applyBorder="1" applyAlignment="1">
      <alignment horizontal="center" vertical="top" wrapText="1"/>
    </xf>
    <xf numFmtId="0" fontId="29" fillId="0" borderId="0" xfId="0" applyFont="1" applyAlignment="1">
      <alignment horizontal="left" vertical="top" wrapText="1"/>
    </xf>
    <xf numFmtId="0" fontId="9" fillId="0" borderId="0" xfId="0" applyFont="1" applyAlignment="1">
      <alignment horizontal="left" vertical="top" wrapText="1"/>
    </xf>
    <xf numFmtId="0" fontId="7" fillId="3" borderId="4" xfId="0" applyFont="1" applyFill="1" applyBorder="1" applyAlignment="1">
      <alignment horizontal="center" vertical="top" wrapText="1" readingOrder="1"/>
    </xf>
    <xf numFmtId="0" fontId="7" fillId="3" borderId="7" xfId="0" applyFont="1" applyFill="1" applyBorder="1" applyAlignment="1">
      <alignment horizontal="center" vertical="top" wrapText="1" readingOrder="1"/>
    </xf>
    <xf numFmtId="0" fontId="7" fillId="3" borderId="12" xfId="0" applyFont="1" applyFill="1" applyBorder="1" applyAlignment="1">
      <alignment horizontal="center" vertical="top" wrapText="1" readingOrder="1"/>
    </xf>
    <xf numFmtId="0" fontId="7" fillId="3" borderId="14" xfId="0" applyFont="1" applyFill="1" applyBorder="1" applyAlignment="1">
      <alignment horizontal="center" vertical="top" wrapText="1" readingOrder="1"/>
    </xf>
    <xf numFmtId="0" fontId="8" fillId="6" borderId="18" xfId="0" applyFont="1" applyFill="1" applyBorder="1" applyAlignment="1">
      <alignment horizontal="center" vertical="top" wrapText="1" readingOrder="1"/>
    </xf>
    <xf numFmtId="0" fontId="8" fillId="6" borderId="16" xfId="0" applyFont="1" applyFill="1" applyBorder="1" applyAlignment="1">
      <alignment horizontal="center" vertical="top" wrapText="1" readingOrder="1"/>
    </xf>
    <xf numFmtId="0" fontId="7" fillId="3" borderId="13" xfId="0" applyFont="1" applyFill="1" applyBorder="1" applyAlignment="1">
      <alignment horizontal="center" vertical="top" wrapText="1" readingOrder="1"/>
    </xf>
    <xf numFmtId="0" fontId="8" fillId="6" borderId="17" xfId="0" applyFont="1" applyFill="1" applyBorder="1" applyAlignment="1">
      <alignment horizontal="center" vertical="top" wrapText="1" readingOrder="1"/>
    </xf>
    <xf numFmtId="0" fontId="8" fillId="6" borderId="15" xfId="0" applyFont="1" applyFill="1" applyBorder="1" applyAlignment="1">
      <alignment horizontal="center" vertical="top" wrapText="1" readingOrder="1"/>
    </xf>
    <xf numFmtId="0" fontId="7" fillId="3" borderId="10" xfId="0" applyFont="1" applyFill="1" applyBorder="1" applyAlignment="1">
      <alignment horizontal="center" vertical="top" wrapText="1" readingOrder="1"/>
    </xf>
    <xf numFmtId="0" fontId="7" fillId="3" borderId="16" xfId="0" applyFont="1" applyFill="1" applyBorder="1" applyAlignment="1">
      <alignment horizontal="center" vertical="top" wrapText="1" readingOrder="1"/>
    </xf>
    <xf numFmtId="0" fontId="7" fillId="3" borderId="8" xfId="0" applyFont="1" applyFill="1" applyBorder="1" applyAlignment="1">
      <alignment horizontal="center" vertical="top" wrapText="1" readingOrder="1"/>
    </xf>
    <xf numFmtId="0" fontId="7" fillId="3" borderId="31" xfId="0" applyFont="1" applyFill="1" applyBorder="1" applyAlignment="1">
      <alignment horizontal="center" vertical="top" wrapText="1" readingOrder="1"/>
    </xf>
    <xf numFmtId="0" fontId="7" fillId="3" borderId="33" xfId="0" applyFont="1" applyFill="1" applyBorder="1" applyAlignment="1">
      <alignment horizontal="center" vertical="top" wrapText="1" readingOrder="1"/>
    </xf>
    <xf numFmtId="0" fontId="9" fillId="0" borderId="0" xfId="0" applyFont="1" applyAlignment="1">
      <alignment horizontal="center" vertical="top" wrapText="1"/>
    </xf>
    <xf numFmtId="0" fontId="9" fillId="0" borderId="23" xfId="0" applyFont="1" applyBorder="1" applyAlignment="1">
      <alignment horizontal="center" vertical="top" wrapText="1"/>
    </xf>
    <xf numFmtId="0" fontId="9" fillId="0" borderId="23" xfId="0" applyFont="1" applyBorder="1" applyAlignment="1">
      <alignment horizontal="left" vertical="top" wrapText="1"/>
    </xf>
    <xf numFmtId="0" fontId="1" fillId="0" borderId="3" xfId="0" applyFont="1" applyBorder="1" applyAlignment="1">
      <alignment horizontal="right" vertical="top"/>
    </xf>
    <xf numFmtId="0" fontId="1" fillId="0" borderId="0" xfId="0" applyFont="1" applyAlignment="1">
      <alignment horizontal="right" vertical="top"/>
    </xf>
    <xf numFmtId="0" fontId="1" fillId="0" borderId="0" xfId="0" applyFont="1" applyAlignment="1">
      <alignment vertical="top"/>
    </xf>
    <xf numFmtId="0" fontId="1" fillId="0" borderId="23" xfId="0" applyFont="1" applyBorder="1" applyAlignment="1">
      <alignment vertical="top"/>
    </xf>
    <xf numFmtId="0" fontId="7" fillId="3" borderId="11" xfId="0" applyFont="1" applyFill="1" applyBorder="1" applyAlignment="1">
      <alignment horizontal="center" vertical="top" wrapText="1" readingOrder="1"/>
    </xf>
    <xf numFmtId="0" fontId="7" fillId="3" borderId="30" xfId="0" applyFont="1" applyFill="1" applyBorder="1" applyAlignment="1">
      <alignment horizontal="center" vertical="top" wrapText="1" readingOrder="1"/>
    </xf>
    <xf numFmtId="0" fontId="33" fillId="2" borderId="1" xfId="0" applyFont="1" applyFill="1" applyBorder="1" applyAlignment="1">
      <alignment horizontal="center" vertical="top" wrapText="1"/>
    </xf>
    <xf numFmtId="0" fontId="33" fillId="2" borderId="2" xfId="0" applyFont="1" applyFill="1" applyBorder="1" applyAlignment="1">
      <alignment horizontal="center" vertical="top" wrapText="1"/>
    </xf>
    <xf numFmtId="0" fontId="33" fillId="2" borderId="22" xfId="0" applyFont="1" applyFill="1" applyBorder="1" applyAlignment="1">
      <alignment horizontal="center" vertical="top" wrapText="1"/>
    </xf>
    <xf numFmtId="0" fontId="9" fillId="0" borderId="0" xfId="0" applyFont="1" applyAlignment="1">
      <alignment horizontal="left" vertical="center" wrapText="1"/>
    </xf>
    <xf numFmtId="0" fontId="9" fillId="0" borderId="23" xfId="0" applyFont="1" applyBorder="1" applyAlignment="1">
      <alignment horizontal="left" vertical="center" wrapText="1"/>
    </xf>
    <xf numFmtId="0" fontId="9" fillId="0" borderId="0" xfId="0" applyFont="1" applyAlignment="1">
      <alignment horizontal="center" vertical="center" wrapText="1"/>
    </xf>
    <xf numFmtId="0" fontId="9" fillId="0" borderId="23" xfId="0" applyFont="1" applyBorder="1" applyAlignment="1">
      <alignment horizontal="center" vertical="center" wrapText="1"/>
    </xf>
    <xf numFmtId="0" fontId="7" fillId="9" borderId="5" xfId="0" applyFont="1" applyFill="1" applyBorder="1" applyAlignment="1">
      <alignment horizontal="center" vertical="top" wrapText="1" readingOrder="1"/>
    </xf>
    <xf numFmtId="0" fontId="7" fillId="9" borderId="6" xfId="0" applyFont="1" applyFill="1" applyBorder="1" applyAlignment="1">
      <alignment horizontal="center" vertical="top" wrapText="1" readingOrder="1"/>
    </xf>
    <xf numFmtId="0" fontId="7" fillId="9" borderId="51" xfId="0" applyFont="1" applyFill="1" applyBorder="1" applyAlignment="1">
      <alignment horizontal="center" vertical="top" wrapText="1" readingOrder="1"/>
    </xf>
    <xf numFmtId="0" fontId="7" fillId="9" borderId="8" xfId="0" applyFont="1" applyFill="1" applyBorder="1" applyAlignment="1">
      <alignment horizontal="center" vertical="top" wrapText="1" readingOrder="1"/>
    </xf>
    <xf numFmtId="0" fontId="7" fillId="9" borderId="9" xfId="0" applyFont="1" applyFill="1" applyBorder="1" applyAlignment="1">
      <alignment horizontal="center" vertical="top" wrapText="1" readingOrder="1"/>
    </xf>
    <xf numFmtId="0" fontId="7" fillId="9" borderId="52" xfId="0" applyFont="1" applyFill="1" applyBorder="1" applyAlignment="1">
      <alignment horizontal="center" vertical="top" wrapText="1" readingOrder="1"/>
    </xf>
    <xf numFmtId="0" fontId="7" fillId="9" borderId="4" xfId="0" applyFont="1" applyFill="1" applyBorder="1" applyAlignment="1">
      <alignment horizontal="center" vertical="top" wrapText="1" readingOrder="1"/>
    </xf>
    <xf numFmtId="0" fontId="7" fillId="9" borderId="7" xfId="0" applyFont="1" applyFill="1" applyBorder="1" applyAlignment="1">
      <alignment horizontal="center" vertical="top" wrapText="1" readingOrder="1"/>
    </xf>
    <xf numFmtId="0" fontId="7" fillId="9" borderId="13" xfId="0" applyFont="1" applyFill="1" applyBorder="1" applyAlignment="1">
      <alignment horizontal="center" vertical="top" wrapText="1" readingOrder="1"/>
    </xf>
    <xf numFmtId="0" fontId="7" fillId="9" borderId="54" xfId="0" applyFont="1" applyFill="1" applyBorder="1" applyAlignment="1">
      <alignment horizontal="center" vertical="top" wrapText="1" readingOrder="1"/>
    </xf>
    <xf numFmtId="0" fontId="7" fillId="9" borderId="55" xfId="0" applyFont="1" applyFill="1" applyBorder="1" applyAlignment="1">
      <alignment horizontal="center" vertical="top" wrapText="1" readingOrder="1"/>
    </xf>
    <xf numFmtId="0" fontId="7" fillId="9" borderId="12" xfId="0" applyFont="1" applyFill="1" applyBorder="1" applyAlignment="1">
      <alignment horizontal="center" vertical="top" wrapText="1" readingOrder="1"/>
    </xf>
    <xf numFmtId="0" fontId="7" fillId="9" borderId="14" xfId="0" applyFont="1" applyFill="1" applyBorder="1" applyAlignment="1">
      <alignment horizontal="center" vertical="top" wrapText="1" readingOrder="1"/>
    </xf>
    <xf numFmtId="0" fontId="7" fillId="9" borderId="10" xfId="0" applyFont="1" applyFill="1" applyBorder="1" applyAlignment="1">
      <alignment horizontal="center" vertical="top" wrapText="1" readingOrder="1"/>
    </xf>
    <xf numFmtId="0" fontId="7" fillId="4" borderId="47" xfId="0" applyFont="1" applyFill="1" applyBorder="1" applyAlignment="1">
      <alignment horizontal="left" vertical="top" wrapText="1" readingOrder="1"/>
    </xf>
    <xf numFmtId="0" fontId="4" fillId="10" borderId="10" xfId="0" applyFont="1" applyFill="1" applyBorder="1" applyAlignment="1">
      <alignment horizontal="center" vertical="top" wrapText="1" readingOrder="1"/>
    </xf>
    <xf numFmtId="0" fontId="7" fillId="10" borderId="11" xfId="0" applyFont="1" applyFill="1" applyBorder="1" applyAlignment="1">
      <alignment horizontal="center" vertical="top" wrapText="1" readingOrder="1"/>
    </xf>
    <xf numFmtId="0" fontId="7" fillId="10" borderId="53" xfId="0" applyFont="1" applyFill="1" applyBorder="1" applyAlignment="1">
      <alignment horizontal="center" vertical="top" wrapText="1" readingOrder="1"/>
    </xf>
    <xf numFmtId="0" fontId="3" fillId="8" borderId="1" xfId="0" applyFont="1" applyFill="1" applyBorder="1" applyAlignment="1">
      <alignment horizontal="center" vertical="top" wrapText="1"/>
    </xf>
    <xf numFmtId="0" fontId="3" fillId="8" borderId="2" xfId="0" applyFont="1" applyFill="1" applyBorder="1" applyAlignment="1">
      <alignment horizontal="center" vertical="top"/>
    </xf>
    <xf numFmtId="0" fontId="3" fillId="8" borderId="22" xfId="0" applyFont="1" applyFill="1" applyBorder="1" applyAlignment="1">
      <alignment horizontal="center" vertical="top"/>
    </xf>
    <xf numFmtId="0" fontId="7" fillId="16" borderId="65" xfId="0" applyFont="1" applyFill="1" applyBorder="1" applyAlignment="1">
      <alignment horizontal="center" vertical="top" wrapText="1" readingOrder="1"/>
    </xf>
    <xf numFmtId="0" fontId="7" fillId="16" borderId="70" xfId="0" applyFont="1" applyFill="1" applyBorder="1" applyAlignment="1">
      <alignment horizontal="center" vertical="top" wrapText="1" readingOrder="1"/>
    </xf>
    <xf numFmtId="0" fontId="7" fillId="13" borderId="62" xfId="0" applyFont="1" applyFill="1" applyBorder="1" applyAlignment="1">
      <alignment horizontal="center" vertical="top" wrapText="1" readingOrder="1"/>
    </xf>
    <xf numFmtId="0" fontId="7" fillId="13" borderId="2" xfId="0" applyFont="1" applyFill="1" applyBorder="1" applyAlignment="1">
      <alignment horizontal="center" vertical="top" wrapText="1" readingOrder="1"/>
    </xf>
    <xf numFmtId="0" fontId="7" fillId="13" borderId="22" xfId="0" applyFont="1" applyFill="1" applyBorder="1" applyAlignment="1">
      <alignment horizontal="center" vertical="top" wrapText="1" readingOrder="1"/>
    </xf>
    <xf numFmtId="0" fontId="7" fillId="13" borderId="8" xfId="0" applyFont="1" applyFill="1" applyBorder="1" applyAlignment="1">
      <alignment horizontal="center" vertical="top" wrapText="1" readingOrder="1"/>
    </xf>
    <xf numFmtId="0" fontId="7" fillId="13" borderId="28" xfId="0" applyFont="1" applyFill="1" applyBorder="1" applyAlignment="1">
      <alignment horizontal="center" vertical="top" wrapText="1" readingOrder="1"/>
    </xf>
    <xf numFmtId="0" fontId="7" fillId="18" borderId="65" xfId="0" applyFont="1" applyFill="1" applyBorder="1" applyAlignment="1">
      <alignment horizontal="center" vertical="top" wrapText="1" readingOrder="1"/>
    </xf>
    <xf numFmtId="0" fontId="7" fillId="18" borderId="70" xfId="0" applyFont="1" applyFill="1" applyBorder="1" applyAlignment="1">
      <alignment horizontal="center" vertical="top" wrapText="1" readingOrder="1"/>
    </xf>
    <xf numFmtId="0" fontId="7" fillId="9" borderId="65" xfId="0" applyFont="1" applyFill="1" applyBorder="1" applyAlignment="1">
      <alignment horizontal="center" vertical="top" wrapText="1" readingOrder="1"/>
    </xf>
    <xf numFmtId="0" fontId="7" fillId="9" borderId="68" xfId="0" applyFont="1" applyFill="1" applyBorder="1" applyAlignment="1">
      <alignment horizontal="center" vertical="top" wrapText="1" readingOrder="1"/>
    </xf>
    <xf numFmtId="0" fontId="7" fillId="9" borderId="39" xfId="0" applyFont="1" applyFill="1" applyBorder="1" applyAlignment="1">
      <alignment horizontal="center" vertical="top" wrapText="1" readingOrder="1"/>
    </xf>
    <xf numFmtId="3" fontId="11" fillId="7" borderId="79" xfId="0" applyNumberFormat="1" applyFont="1" applyFill="1" applyBorder="1" applyAlignment="1">
      <alignment horizontal="center" vertical="center" wrapText="1"/>
    </xf>
    <xf numFmtId="0" fontId="7" fillId="20" borderId="65" xfId="0" applyFont="1" applyFill="1" applyBorder="1" applyAlignment="1">
      <alignment horizontal="center" vertical="top" wrapText="1" readingOrder="1"/>
    </xf>
    <xf numFmtId="0" fontId="7" fillId="20" borderId="68" xfId="0" applyFont="1" applyFill="1" applyBorder="1" applyAlignment="1">
      <alignment horizontal="center" vertical="top" wrapText="1" readingOrder="1"/>
    </xf>
    <xf numFmtId="0" fontId="7" fillId="20" borderId="12" xfId="0" applyFont="1" applyFill="1" applyBorder="1" applyAlignment="1">
      <alignment horizontal="center" vertical="top" wrapText="1" readingOrder="1"/>
    </xf>
    <xf numFmtId="0" fontId="7" fillId="20" borderId="39" xfId="0" applyFont="1" applyFill="1" applyBorder="1" applyAlignment="1">
      <alignment horizontal="center" vertical="top" wrapText="1" readingOrder="1"/>
    </xf>
    <xf numFmtId="0" fontId="9" fillId="6" borderId="12" xfId="0" applyFont="1" applyFill="1" applyBorder="1" applyAlignment="1">
      <alignment horizontal="left" vertical="top" wrapText="1" readingOrder="1"/>
    </xf>
    <xf numFmtId="0" fontId="8" fillId="6" borderId="12" xfId="0" applyFont="1" applyFill="1" applyBorder="1" applyAlignment="1">
      <alignment horizontal="left" vertical="top" wrapText="1" readingOrder="1"/>
    </xf>
    <xf numFmtId="3" fontId="12" fillId="7" borderId="76" xfId="0" applyNumberFormat="1" applyFont="1" applyFill="1" applyBorder="1" applyAlignment="1">
      <alignment horizontal="center" vertical="center"/>
    </xf>
    <xf numFmtId="0" fontId="8" fillId="0" borderId="50" xfId="0" applyFont="1" applyBorder="1" applyAlignment="1">
      <alignment horizontal="left" vertical="top" wrapText="1" readingOrder="1"/>
    </xf>
    <xf numFmtId="0" fontId="8" fillId="5" borderId="17" xfId="0" applyFont="1" applyFill="1" applyBorder="1" applyAlignment="1">
      <alignment horizontal="left" vertical="top" wrapText="1" readingOrder="1"/>
    </xf>
    <xf numFmtId="0" fontId="8" fillId="5" borderId="15" xfId="0" applyFont="1" applyFill="1" applyBorder="1" applyAlignment="1">
      <alignment horizontal="left" vertical="top" wrapText="1" readingOrder="1"/>
    </xf>
    <xf numFmtId="0" fontId="9" fillId="6" borderId="17" xfId="0" applyFont="1" applyFill="1" applyBorder="1" applyAlignment="1">
      <alignment horizontal="left" vertical="top" wrapText="1" readingOrder="1"/>
    </xf>
    <xf numFmtId="0" fontId="9" fillId="6" borderId="15" xfId="0" applyFont="1" applyFill="1" applyBorder="1" applyAlignment="1">
      <alignment horizontal="left" vertical="top" wrapText="1" readingOrder="1"/>
    </xf>
    <xf numFmtId="0" fontId="9" fillId="6" borderId="19" xfId="0" applyFont="1" applyFill="1" applyBorder="1" applyAlignment="1">
      <alignment horizontal="left" vertical="top" wrapText="1" readingOrder="1"/>
    </xf>
    <xf numFmtId="0" fontId="9" fillId="6" borderId="41" xfId="0" applyFont="1" applyFill="1" applyBorder="1" applyAlignment="1">
      <alignment horizontal="left" vertical="top" wrapText="1" readingOrder="1"/>
    </xf>
    <xf numFmtId="0" fontId="7" fillId="9" borderId="61" xfId="0" applyFont="1" applyFill="1" applyBorder="1" applyAlignment="1">
      <alignment horizontal="center" vertical="top" wrapText="1" readingOrder="1"/>
    </xf>
    <xf numFmtId="0" fontId="7" fillId="9" borderId="19" xfId="0" applyFont="1" applyFill="1" applyBorder="1" applyAlignment="1">
      <alignment horizontal="center" vertical="top" wrapText="1" readingOrder="1"/>
    </xf>
    <xf numFmtId="0" fontId="7" fillId="4" borderId="39" xfId="0" applyFont="1" applyFill="1" applyBorder="1" applyAlignment="1">
      <alignment horizontal="left" vertical="top" wrapText="1" readingOrder="1"/>
    </xf>
    <xf numFmtId="0" fontId="7" fillId="10" borderId="12" xfId="0" applyFont="1" applyFill="1" applyBorder="1" applyAlignment="1">
      <alignment horizontal="center" vertical="top" wrapText="1" readingOrder="1"/>
    </xf>
    <xf numFmtId="0" fontId="7" fillId="10" borderId="39" xfId="0" applyFont="1" applyFill="1" applyBorder="1" applyAlignment="1">
      <alignment horizontal="center" vertical="top" wrapText="1" readingOrder="1"/>
    </xf>
    <xf numFmtId="0" fontId="8" fillId="6" borderId="18" xfId="0" applyFont="1" applyFill="1" applyBorder="1" applyAlignment="1">
      <alignment horizontal="left" vertical="top" wrapText="1" readingOrder="1"/>
    </xf>
    <xf numFmtId="0" fontId="8" fillId="6" borderId="50" xfId="0" applyFont="1" applyFill="1" applyBorder="1" applyAlignment="1">
      <alignment horizontal="left" vertical="top" wrapText="1" readingOrder="1"/>
    </xf>
    <xf numFmtId="0" fontId="8" fillId="6" borderId="16" xfId="0" applyFont="1" applyFill="1" applyBorder="1" applyAlignment="1">
      <alignment horizontal="left" vertical="top" wrapText="1" readingOrder="1"/>
    </xf>
    <xf numFmtId="0" fontId="19" fillId="6" borderId="12" xfId="0" applyFont="1" applyFill="1" applyBorder="1" applyAlignment="1">
      <alignment horizontal="left" vertical="top" wrapText="1" readingOrder="1"/>
    </xf>
    <xf numFmtId="0" fontId="9" fillId="0" borderId="64" xfId="0" applyFont="1" applyBorder="1" applyAlignment="1">
      <alignment horizontal="left" vertical="top" wrapText="1" readingOrder="1"/>
    </xf>
    <xf numFmtId="0" fontId="7" fillId="21" borderId="12" xfId="0" applyFont="1" applyFill="1" applyBorder="1" applyAlignment="1">
      <alignment horizontal="center" vertical="top" wrapText="1" readingOrder="1"/>
    </xf>
    <xf numFmtId="0" fontId="7" fillId="21" borderId="39" xfId="0" applyFont="1" applyFill="1" applyBorder="1" applyAlignment="1">
      <alignment horizontal="center" vertical="top" wrapText="1" readingOrder="1"/>
    </xf>
    <xf numFmtId="0" fontId="7" fillId="19" borderId="12" xfId="0" applyFont="1" applyFill="1" applyBorder="1" applyAlignment="1">
      <alignment horizontal="center" vertical="top" wrapText="1" readingOrder="1"/>
    </xf>
    <xf numFmtId="0" fontId="7" fillId="19" borderId="10" xfId="0" applyFont="1" applyFill="1" applyBorder="1" applyAlignment="1">
      <alignment horizontal="center" vertical="top" wrapText="1" readingOrder="1"/>
    </xf>
    <xf numFmtId="0" fontId="7" fillId="19" borderId="16" xfId="0" applyFont="1" applyFill="1" applyBorder="1" applyAlignment="1">
      <alignment horizontal="center" vertical="top" wrapText="1" readingOrder="1"/>
    </xf>
    <xf numFmtId="0" fontId="4" fillId="4" borderId="19" xfId="0" applyFont="1" applyFill="1" applyBorder="1" applyAlignment="1">
      <alignment horizontal="left" vertical="top" wrapText="1" readingOrder="1"/>
    </xf>
    <xf numFmtId="0" fontId="7" fillId="20" borderId="61" xfId="0" applyFont="1" applyFill="1" applyBorder="1" applyAlignment="1">
      <alignment horizontal="center" vertical="top" wrapText="1" readingOrder="1"/>
    </xf>
    <xf numFmtId="0" fontId="7" fillId="20" borderId="19" xfId="0" applyFont="1" applyFill="1" applyBorder="1" applyAlignment="1">
      <alignment horizontal="center" vertical="top" wrapText="1" readingOrder="1"/>
    </xf>
    <xf numFmtId="0" fontId="4" fillId="4" borderId="12" xfId="0" applyFont="1" applyFill="1" applyBorder="1" applyAlignment="1">
      <alignment horizontal="left" vertical="top" wrapText="1" readingOrder="1"/>
    </xf>
    <xf numFmtId="0" fontId="4" fillId="4" borderId="39" xfId="0" applyFont="1" applyFill="1" applyBorder="1" applyAlignment="1">
      <alignment horizontal="left" vertical="top" wrapText="1" readingOrder="1"/>
    </xf>
    <xf numFmtId="0" fontId="4" fillId="10" borderId="12" xfId="0" applyFont="1" applyFill="1" applyBorder="1" applyAlignment="1">
      <alignment horizontal="center" vertical="top" wrapText="1" readingOrder="1"/>
    </xf>
    <xf numFmtId="0" fontId="7" fillId="13" borderId="61" xfId="0" applyFont="1" applyFill="1" applyBorder="1" applyAlignment="1">
      <alignment horizontal="center" vertical="top" wrapText="1" readingOrder="1"/>
    </xf>
    <xf numFmtId="0" fontId="7" fillId="13" borderId="19" xfId="0" applyFont="1" applyFill="1" applyBorder="1" applyAlignment="1">
      <alignment horizontal="center" vertical="top" wrapText="1" readingOrder="1"/>
    </xf>
    <xf numFmtId="0" fontId="8" fillId="0" borderId="17" xfId="0" applyFont="1" applyBorder="1" applyAlignment="1">
      <alignment horizontal="left" vertical="top" wrapText="1" readingOrder="1"/>
    </xf>
    <xf numFmtId="0" fontId="8" fillId="0" borderId="21" xfId="0" applyFont="1" applyBorder="1" applyAlignment="1">
      <alignment horizontal="left" vertical="top" wrapText="1" readingOrder="1"/>
    </xf>
    <xf numFmtId="0" fontId="8" fillId="0" borderId="15" xfId="0" applyFont="1" applyBorder="1" applyAlignment="1">
      <alignment horizontal="left" vertical="top" wrapText="1" readingOrder="1"/>
    </xf>
    <xf numFmtId="0" fontId="9" fillId="0" borderId="17" xfId="0" applyFont="1" applyBorder="1" applyAlignment="1">
      <alignment horizontal="center" vertical="top" wrapText="1" readingOrder="1"/>
    </xf>
    <xf numFmtId="0" fontId="9" fillId="0" borderId="15" xfId="0" applyFont="1" applyBorder="1" applyAlignment="1">
      <alignment horizontal="center" vertical="top" wrapText="1" readingOrder="1"/>
    </xf>
    <xf numFmtId="0" fontId="9" fillId="0" borderId="63" xfId="0" applyFont="1" applyBorder="1" applyAlignment="1">
      <alignment horizontal="left" vertical="top" wrapText="1" readingOrder="1"/>
    </xf>
    <xf numFmtId="0" fontId="7" fillId="16" borderId="61" xfId="0" applyFont="1" applyFill="1" applyBorder="1" applyAlignment="1">
      <alignment horizontal="center" vertical="top" wrapText="1" readingOrder="1"/>
    </xf>
    <xf numFmtId="0" fontId="7" fillId="16" borderId="19" xfId="0" applyFont="1" applyFill="1" applyBorder="1" applyAlignment="1">
      <alignment horizontal="center" vertical="top" wrapText="1" readingOrder="1"/>
    </xf>
    <xf numFmtId="0" fontId="7" fillId="0" borderId="19" xfId="0" applyFont="1" applyBorder="1" applyAlignment="1">
      <alignment horizontal="left" vertical="top" wrapText="1" readingOrder="1"/>
    </xf>
    <xf numFmtId="0" fontId="7" fillId="0" borderId="12" xfId="0" applyFont="1" applyBorder="1" applyAlignment="1">
      <alignment horizontal="left" vertical="top" wrapText="1" readingOrder="1"/>
    </xf>
    <xf numFmtId="0" fontId="7" fillId="0" borderId="39" xfId="0" applyFont="1" applyBorder="1" applyAlignment="1">
      <alignment horizontal="left" vertical="top" wrapText="1" readingOrder="1"/>
    </xf>
    <xf numFmtId="0" fontId="5" fillId="0" borderId="20" xfId="0" applyFont="1" applyBorder="1" applyAlignment="1">
      <alignment horizontal="left" vertical="top" wrapText="1" readingOrder="1"/>
    </xf>
    <xf numFmtId="0" fontId="5" fillId="0" borderId="11" xfId="0" applyFont="1" applyBorder="1" applyAlignment="1">
      <alignment horizontal="left" vertical="top" wrapText="1" readingOrder="1"/>
    </xf>
    <xf numFmtId="0" fontId="5" fillId="0" borderId="30" xfId="0" applyFont="1" applyBorder="1" applyAlignment="1">
      <alignment horizontal="left" vertical="top" wrapText="1" readingOrder="1"/>
    </xf>
    <xf numFmtId="0" fontId="5" fillId="4" borderId="19" xfId="0" applyFont="1" applyFill="1" applyBorder="1" applyAlignment="1">
      <alignment horizontal="left" vertical="top" wrapText="1" readingOrder="1"/>
    </xf>
    <xf numFmtId="0" fontId="9" fillId="0" borderId="66" xfId="0" applyFont="1" applyBorder="1" applyAlignment="1">
      <alignment horizontal="left" vertical="top" wrapText="1" readingOrder="1"/>
    </xf>
    <xf numFmtId="0" fontId="9" fillId="0" borderId="67" xfId="0" applyFont="1" applyBorder="1" applyAlignment="1">
      <alignment horizontal="left" vertical="top" wrapText="1" readingOrder="1"/>
    </xf>
    <xf numFmtId="0" fontId="9" fillId="0" borderId="8" xfId="0" applyFont="1" applyBorder="1" applyAlignment="1">
      <alignment horizontal="left" vertical="top" wrapText="1" readingOrder="1"/>
    </xf>
    <xf numFmtId="0" fontId="7" fillId="13" borderId="10" xfId="0" applyFont="1" applyFill="1" applyBorder="1" applyAlignment="1">
      <alignment horizontal="center" vertical="top" wrapText="1" readingOrder="1"/>
    </xf>
    <xf numFmtId="0" fontId="9" fillId="0" borderId="12" xfId="0" applyFont="1" applyBorder="1" applyAlignment="1">
      <alignment horizontal="left" vertical="top" wrapText="1"/>
    </xf>
    <xf numFmtId="3" fontId="12" fillId="7" borderId="7" xfId="0" applyNumberFormat="1" applyFont="1" applyFill="1" applyBorder="1" applyAlignment="1">
      <alignment horizontal="center" vertical="center"/>
    </xf>
    <xf numFmtId="3" fontId="12" fillId="7" borderId="13" xfId="0" applyNumberFormat="1" applyFont="1" applyFill="1" applyBorder="1" applyAlignment="1">
      <alignment horizontal="center" vertical="center"/>
    </xf>
    <xf numFmtId="3" fontId="11" fillId="7" borderId="14" xfId="0" applyNumberFormat="1" applyFont="1" applyFill="1" applyBorder="1" applyAlignment="1">
      <alignment horizontal="center" vertical="center"/>
    </xf>
    <xf numFmtId="0" fontId="7" fillId="10" borderId="10" xfId="0" applyFont="1" applyFill="1" applyBorder="1" applyAlignment="1">
      <alignment horizontal="center" vertical="top" wrapText="1" readingOrder="1"/>
    </xf>
    <xf numFmtId="0" fontId="7" fillId="4" borderId="7" xfId="0" applyFont="1" applyFill="1" applyBorder="1" applyAlignment="1">
      <alignment horizontal="left" vertical="top" wrapText="1" readingOrder="1"/>
    </xf>
    <xf numFmtId="0" fontId="4" fillId="4" borderId="7" xfId="0" applyFont="1" applyFill="1" applyBorder="1" applyAlignment="1">
      <alignment horizontal="left" vertical="top" wrapText="1" readingOrder="1"/>
    </xf>
    <xf numFmtId="0" fontId="4" fillId="4" borderId="10" xfId="0" applyFont="1" applyFill="1" applyBorder="1" applyAlignment="1">
      <alignment horizontal="left" vertical="top" wrapText="1" readingOrder="1"/>
    </xf>
    <xf numFmtId="0" fontId="4" fillId="4" borderId="15" xfId="0" applyFont="1" applyFill="1" applyBorder="1" applyAlignment="1">
      <alignment horizontal="left" vertical="top" wrapText="1" readingOrder="1"/>
    </xf>
    <xf numFmtId="0" fontId="7" fillId="0" borderId="10" xfId="0" applyFont="1" applyBorder="1" applyAlignment="1">
      <alignment horizontal="left" vertical="top" wrapText="1" readingOrder="1"/>
    </xf>
    <xf numFmtId="0" fontId="4" fillId="0" borderId="0" xfId="0" applyFont="1" applyAlignment="1">
      <alignment horizontal="left" vertical="top" wrapText="1"/>
    </xf>
    <xf numFmtId="0" fontId="4" fillId="0" borderId="23" xfId="0" applyFont="1" applyBorder="1" applyAlignment="1">
      <alignment horizontal="left" vertical="top" wrapText="1"/>
    </xf>
    <xf numFmtId="0" fontId="4" fillId="0" borderId="0" xfId="0" applyFont="1" applyAlignment="1">
      <alignment horizontal="left" vertical="top"/>
    </xf>
    <xf numFmtId="0" fontId="4" fillId="0" borderId="23" xfId="0" applyFont="1" applyBorder="1" applyAlignment="1">
      <alignment horizontal="left" vertical="top"/>
    </xf>
    <xf numFmtId="0" fontId="7" fillId="3" borderId="5" xfId="0" applyFont="1" applyFill="1" applyBorder="1" applyAlignment="1">
      <alignment horizontal="center" vertical="top" wrapText="1" readingOrder="1"/>
    </xf>
    <xf numFmtId="0" fontId="7" fillId="3" borderId="6" xfId="0" applyFont="1" applyFill="1" applyBorder="1" applyAlignment="1">
      <alignment horizontal="center" vertical="top" wrapText="1" readingOrder="1"/>
    </xf>
    <xf numFmtId="0" fontId="7" fillId="3" borderId="24" xfId="0" applyFont="1" applyFill="1" applyBorder="1" applyAlignment="1">
      <alignment horizontal="center" vertical="top" wrapText="1" readingOrder="1"/>
    </xf>
    <xf numFmtId="0" fontId="7" fillId="3" borderId="9" xfId="0" applyFont="1" applyFill="1" applyBorder="1" applyAlignment="1">
      <alignment horizontal="center" vertical="top" wrapText="1" readingOrder="1"/>
    </xf>
    <xf numFmtId="0" fontId="7" fillId="3" borderId="28" xfId="0" applyFont="1" applyFill="1" applyBorder="1" applyAlignment="1">
      <alignment horizontal="center" vertical="top" wrapText="1" readingOrder="1"/>
    </xf>
    <xf numFmtId="0" fontId="5" fillId="0" borderId="0" xfId="0" applyFont="1" applyAlignment="1">
      <alignment horizontal="left" vertical="top" wrapText="1"/>
    </xf>
    <xf numFmtId="0" fontId="5" fillId="0" borderId="23" xfId="0" applyFont="1" applyBorder="1" applyAlignment="1">
      <alignment horizontal="left" vertical="top" wrapText="1"/>
    </xf>
    <xf numFmtId="0" fontId="6" fillId="0" borderId="0" xfId="0" applyFont="1" applyAlignment="1">
      <alignment horizontal="left" vertical="top" wrapText="1"/>
    </xf>
    <xf numFmtId="0" fontId="6" fillId="0" borderId="23" xfId="0" applyFont="1" applyBorder="1" applyAlignment="1">
      <alignment horizontal="left" vertical="top" wrapText="1"/>
    </xf>
    <xf numFmtId="0" fontId="3" fillId="0" borderId="0" xfId="0" applyFont="1" applyAlignment="1">
      <alignment horizontal="center" vertical="top" wrapText="1"/>
    </xf>
    <xf numFmtId="0" fontId="3" fillId="0" borderId="23" xfId="0" applyFont="1" applyBorder="1" applyAlignment="1">
      <alignment horizontal="center" vertical="top" wrapText="1"/>
    </xf>
    <xf numFmtId="0" fontId="6" fillId="0" borderId="0" xfId="0" applyFont="1" applyAlignment="1">
      <alignment horizontal="left" vertical="top"/>
    </xf>
    <xf numFmtId="0" fontId="6" fillId="0" borderId="23" xfId="0" applyFont="1" applyBorder="1" applyAlignment="1">
      <alignment horizontal="left" vertical="top"/>
    </xf>
    <xf numFmtId="0" fontId="5" fillId="0" borderId="0" xfId="0" applyFont="1" applyAlignment="1">
      <alignment horizontal="left" vertical="top"/>
    </xf>
    <xf numFmtId="0" fontId="5" fillId="0" borderId="23" xfId="0" applyFont="1" applyBorder="1" applyAlignment="1">
      <alignment horizontal="left" vertical="top"/>
    </xf>
    <xf numFmtId="0" fontId="3" fillId="2" borderId="1"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22" xfId="0" applyFont="1" applyFill="1" applyBorder="1" applyAlignment="1">
      <alignment horizontal="center" vertical="top" wrapText="1"/>
    </xf>
    <xf numFmtId="0" fontId="4" fillId="0" borderId="0" xfId="0" applyFont="1" applyAlignment="1">
      <alignment horizontal="left" vertical="center" wrapText="1"/>
    </xf>
    <xf numFmtId="0" fontId="4" fillId="0" borderId="23" xfId="0" applyFont="1" applyBorder="1" applyAlignment="1">
      <alignment horizontal="left" vertical="center" wrapText="1"/>
    </xf>
    <xf numFmtId="0" fontId="1" fillId="0" borderId="0" xfId="0" applyFont="1" applyAlignment="1">
      <alignment horizontal="center" vertical="center" wrapText="1"/>
    </xf>
    <xf numFmtId="0" fontId="1" fillId="0" borderId="23" xfId="0" applyFont="1" applyBorder="1" applyAlignment="1">
      <alignment horizontal="center" vertical="center" wrapText="1"/>
    </xf>
    <xf numFmtId="0" fontId="66" fillId="22" borderId="12"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colors>
    <mruColors>
      <color rgb="FFFFCCFF"/>
      <color rgb="FFFFFFD1"/>
      <color rgb="FFFFC1FF"/>
      <color rgb="FFE5E5FF"/>
      <color rgb="FFF0F8A2"/>
      <color rgb="FFF4F29A"/>
      <color rgb="FFFFFFE1"/>
      <color rgb="FFF8F7C0"/>
      <color rgb="FFFF66FF"/>
      <color rgb="FFEFEF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1524000</xdr:colOff>
      <xdr:row>39</xdr:row>
      <xdr:rowOff>47626</xdr:rowOff>
    </xdr:from>
    <xdr:to>
      <xdr:col>3</xdr:col>
      <xdr:colOff>1796144</xdr:colOff>
      <xdr:row>39</xdr:row>
      <xdr:rowOff>529713</xdr:rowOff>
    </xdr:to>
    <xdr:pic>
      <xdr:nvPicPr>
        <xdr:cNvPr id="3" name="Graphic 2" descr="Flag outlin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52850" y="74980800"/>
          <a:ext cx="271780" cy="481965"/>
        </a:xfrm>
        <a:prstGeom prst="rect">
          <a:avLst/>
        </a:prstGeom>
      </xdr:spPr>
    </xdr:pic>
    <xdr:clientData/>
  </xdr:twoCellAnchor>
  <xdr:twoCellAnchor editAs="oneCell">
    <xdr:from>
      <xdr:col>3</xdr:col>
      <xdr:colOff>1524001</xdr:colOff>
      <xdr:row>39</xdr:row>
      <xdr:rowOff>47626</xdr:rowOff>
    </xdr:from>
    <xdr:to>
      <xdr:col>3</xdr:col>
      <xdr:colOff>1857375</xdr:colOff>
      <xdr:row>39</xdr:row>
      <xdr:rowOff>381000</xdr:rowOff>
    </xdr:to>
    <xdr:pic>
      <xdr:nvPicPr>
        <xdr:cNvPr id="2" name="Graphic 1" descr="Flag outlin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52850" y="74980800"/>
          <a:ext cx="333375" cy="333375"/>
        </a:xfrm>
        <a:prstGeom prst="rect">
          <a:avLst/>
        </a:prstGeom>
      </xdr:spPr>
    </xdr:pic>
    <xdr:clientData/>
  </xdr:twoCellAnchor>
  <xdr:twoCellAnchor editAs="oneCell">
    <xdr:from>
      <xdr:col>3</xdr:col>
      <xdr:colOff>1215571</xdr:colOff>
      <xdr:row>58</xdr:row>
      <xdr:rowOff>2771322</xdr:rowOff>
    </xdr:from>
    <xdr:to>
      <xdr:col>3</xdr:col>
      <xdr:colOff>1548945</xdr:colOff>
      <xdr:row>58</xdr:row>
      <xdr:rowOff>3106056</xdr:rowOff>
    </xdr:to>
    <xdr:pic>
      <xdr:nvPicPr>
        <xdr:cNvPr id="4" name="Graphic 3" descr="Flag outlin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44240" y="110317915"/>
          <a:ext cx="333375" cy="334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1524001</xdr:colOff>
      <xdr:row>53</xdr:row>
      <xdr:rowOff>47626</xdr:rowOff>
    </xdr:from>
    <xdr:to>
      <xdr:col>3</xdr:col>
      <xdr:colOff>1857375</xdr:colOff>
      <xdr:row>53</xdr:row>
      <xdr:rowOff>381000</xdr:rowOff>
    </xdr:to>
    <xdr:pic>
      <xdr:nvPicPr>
        <xdr:cNvPr id="2" name="Graphic 1" descr="Flag outlin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67125" y="82200750"/>
          <a:ext cx="333375" cy="333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1215571</xdr:colOff>
      <xdr:row>28</xdr:row>
      <xdr:rowOff>2771322</xdr:rowOff>
    </xdr:from>
    <xdr:to>
      <xdr:col>3</xdr:col>
      <xdr:colOff>1548945</xdr:colOff>
      <xdr:row>28</xdr:row>
      <xdr:rowOff>3106056</xdr:rowOff>
    </xdr:to>
    <xdr:pic>
      <xdr:nvPicPr>
        <xdr:cNvPr id="2" name="Graphic 1" descr="Flag outlin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72840" y="28402915"/>
          <a:ext cx="333375" cy="3346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2:P181"/>
  <sheetViews>
    <sheetView view="pageBreakPreview" zoomScale="60" zoomScaleNormal="70" zoomScalePageLayoutView="60" workbookViewId="0">
      <selection activeCell="I117" sqref="I117"/>
    </sheetView>
  </sheetViews>
  <sheetFormatPr defaultColWidth="9" defaultRowHeight="26.25"/>
  <cols>
    <col min="1" max="3" width="9.75" style="691" customWidth="1"/>
    <col min="4" max="4" width="25.375" style="692" customWidth="1"/>
    <col min="5" max="5" width="22.625" style="692" customWidth="1"/>
    <col min="6" max="6" width="27.375" style="692" customWidth="1"/>
    <col min="7" max="7" width="29.625" style="692" customWidth="1"/>
    <col min="8" max="9" width="32.75" style="692" customWidth="1"/>
    <col min="10" max="15" width="8.5" style="692" customWidth="1"/>
    <col min="16" max="16" width="26.5" style="692" customWidth="1"/>
    <col min="17" max="16384" width="9" style="90"/>
  </cols>
  <sheetData>
    <row r="2" spans="1:16" s="86" customFormat="1" ht="20.25" customHeight="1">
      <c r="A2" s="805" t="s">
        <v>0</v>
      </c>
      <c r="B2" s="806"/>
      <c r="C2" s="807"/>
      <c r="D2" s="888" t="s">
        <v>1</v>
      </c>
      <c r="E2" s="799" t="s">
        <v>2</v>
      </c>
      <c r="F2" s="800"/>
      <c r="G2" s="800"/>
      <c r="H2" s="800"/>
      <c r="I2" s="800"/>
      <c r="J2" s="800"/>
      <c r="K2" s="800"/>
      <c r="L2" s="800"/>
      <c r="M2" s="800"/>
      <c r="N2" s="800"/>
      <c r="O2" s="800"/>
      <c r="P2" s="801"/>
    </row>
    <row r="3" spans="1:16" s="86" customFormat="1" ht="32.25" customHeight="1">
      <c r="A3" s="808"/>
      <c r="B3" s="809"/>
      <c r="C3" s="810"/>
      <c r="D3" s="889"/>
      <c r="E3" s="802"/>
      <c r="F3" s="803"/>
      <c r="G3" s="803"/>
      <c r="H3" s="803"/>
      <c r="I3" s="803"/>
      <c r="J3" s="803"/>
      <c r="K3" s="803"/>
      <c r="L3" s="803"/>
      <c r="M3" s="803"/>
      <c r="N3" s="803"/>
      <c r="O3" s="803"/>
      <c r="P3" s="804"/>
    </row>
    <row r="4" spans="1:16" s="86" customFormat="1" ht="26.25" customHeight="1">
      <c r="A4" s="808"/>
      <c r="B4" s="809"/>
      <c r="C4" s="810"/>
      <c r="D4" s="693" t="s">
        <v>3</v>
      </c>
      <c r="E4" s="966" t="s">
        <v>4</v>
      </c>
      <c r="F4" s="967"/>
      <c r="G4" s="967"/>
      <c r="H4" s="967"/>
      <c r="I4" s="967"/>
      <c r="J4" s="967"/>
      <c r="K4" s="967"/>
      <c r="L4" s="967"/>
      <c r="M4" s="967"/>
      <c r="N4" s="967"/>
      <c r="O4" s="968"/>
      <c r="P4" s="711"/>
    </row>
    <row r="5" spans="1:16" s="86" customFormat="1" ht="26.25" customHeight="1">
      <c r="A5" s="847" t="s">
        <v>5</v>
      </c>
      <c r="B5" s="917" t="s">
        <v>6</v>
      </c>
      <c r="C5" s="841" t="s">
        <v>7</v>
      </c>
      <c r="D5" s="889" t="s">
        <v>8</v>
      </c>
      <c r="E5" s="986" t="s">
        <v>9</v>
      </c>
      <c r="F5" s="969" t="s">
        <v>10</v>
      </c>
      <c r="G5" s="980" t="s">
        <v>11</v>
      </c>
      <c r="H5" s="969" t="s">
        <v>12</v>
      </c>
      <c r="I5" s="947" t="s">
        <v>13</v>
      </c>
      <c r="J5" s="969" t="s">
        <v>14</v>
      </c>
      <c r="K5" s="969"/>
      <c r="L5" s="969"/>
      <c r="M5" s="969"/>
      <c r="N5" s="969"/>
      <c r="O5" s="970"/>
      <c r="P5" s="982" t="s">
        <v>15</v>
      </c>
    </row>
    <row r="6" spans="1:16" s="86" customFormat="1">
      <c r="A6" s="848"/>
      <c r="B6" s="918"/>
      <c r="C6" s="842"/>
      <c r="D6" s="890"/>
      <c r="E6" s="987"/>
      <c r="F6" s="979"/>
      <c r="G6" s="981"/>
      <c r="H6" s="979"/>
      <c r="I6" s="948"/>
      <c r="J6" s="694">
        <v>65</v>
      </c>
      <c r="K6" s="694">
        <v>66</v>
      </c>
      <c r="L6" s="694">
        <v>67</v>
      </c>
      <c r="M6" s="694">
        <v>68</v>
      </c>
      <c r="N6" s="712">
        <v>69</v>
      </c>
      <c r="O6" s="713">
        <v>70</v>
      </c>
      <c r="P6" s="983"/>
    </row>
    <row r="7" spans="1:16" s="86" customFormat="1" ht="26.25" customHeight="1">
      <c r="A7" s="618"/>
      <c r="B7" s="619"/>
      <c r="C7" s="620"/>
      <c r="D7" s="857" t="s">
        <v>16</v>
      </c>
      <c r="E7" s="858"/>
      <c r="F7" s="858"/>
      <c r="G7" s="858"/>
      <c r="H7" s="858"/>
      <c r="I7" s="858"/>
      <c r="J7" s="858"/>
      <c r="K7" s="858"/>
      <c r="L7" s="858"/>
      <c r="M7" s="858"/>
      <c r="N7" s="858"/>
      <c r="O7" s="859"/>
      <c r="P7" s="714"/>
    </row>
    <row r="8" spans="1:16" s="86" customFormat="1" ht="162.75" customHeight="1">
      <c r="A8" s="215" t="s">
        <v>17</v>
      </c>
      <c r="B8" s="621" t="s">
        <v>18</v>
      </c>
      <c r="C8" s="211" t="s">
        <v>19</v>
      </c>
      <c r="D8" s="622" t="s">
        <v>20</v>
      </c>
      <c r="E8" s="187" t="s">
        <v>21</v>
      </c>
      <c r="F8" s="21"/>
      <c r="G8" s="695" t="s">
        <v>22</v>
      </c>
      <c r="H8" s="630" t="s">
        <v>23</v>
      </c>
      <c r="I8" s="595"/>
      <c r="J8" s="18">
        <v>3</v>
      </c>
      <c r="K8" s="18">
        <v>6</v>
      </c>
      <c r="L8" s="18">
        <v>6</v>
      </c>
      <c r="M8" s="18">
        <v>6</v>
      </c>
      <c r="N8" s="18">
        <v>7</v>
      </c>
      <c r="O8" s="456">
        <v>8</v>
      </c>
      <c r="P8" s="208" t="s">
        <v>24</v>
      </c>
    </row>
    <row r="9" spans="1:16" s="86" customFormat="1" ht="131.25">
      <c r="A9" s="216" t="s">
        <v>25</v>
      </c>
      <c r="B9" s="621" t="s">
        <v>18</v>
      </c>
      <c r="C9" s="211" t="s">
        <v>19</v>
      </c>
      <c r="D9" s="624"/>
      <c r="E9" s="254" t="s">
        <v>26</v>
      </c>
      <c r="F9" s="21" t="s">
        <v>27</v>
      </c>
      <c r="G9" s="188" t="s">
        <v>28</v>
      </c>
      <c r="H9" s="623"/>
      <c r="I9" s="715" t="s">
        <v>29</v>
      </c>
      <c r="J9" s="18">
        <v>3</v>
      </c>
      <c r="K9" s="18">
        <v>0</v>
      </c>
      <c r="L9" s="18">
        <v>0</v>
      </c>
      <c r="M9" s="18">
        <v>0</v>
      </c>
      <c r="N9" s="18">
        <v>0</v>
      </c>
      <c r="O9" s="456">
        <v>1</v>
      </c>
      <c r="P9" s="208" t="s">
        <v>27</v>
      </c>
    </row>
    <row r="10" spans="1:16" s="86" customFormat="1" ht="105">
      <c r="A10" s="215" t="s">
        <v>25</v>
      </c>
      <c r="B10" s="621" t="s">
        <v>18</v>
      </c>
      <c r="C10" s="211" t="s">
        <v>19</v>
      </c>
      <c r="D10" s="626"/>
      <c r="E10" s="398" t="s">
        <v>30</v>
      </c>
      <c r="F10" s="21" t="s">
        <v>31</v>
      </c>
      <c r="G10" s="188" t="s">
        <v>32</v>
      </c>
      <c r="H10" s="623"/>
      <c r="I10" s="715" t="s">
        <v>33</v>
      </c>
      <c r="J10" s="18" t="s">
        <v>34</v>
      </c>
      <c r="K10" s="18" t="s">
        <v>34</v>
      </c>
      <c r="L10" s="18" t="s">
        <v>34</v>
      </c>
      <c r="M10" s="18" t="s">
        <v>34</v>
      </c>
      <c r="N10" s="18">
        <v>1</v>
      </c>
      <c r="O10" s="456">
        <v>0</v>
      </c>
      <c r="P10" s="208" t="s">
        <v>31</v>
      </c>
    </row>
    <row r="11" spans="1:16" s="86" customFormat="1" ht="315">
      <c r="A11" s="215" t="s">
        <v>35</v>
      </c>
      <c r="B11" s="621" t="s">
        <v>18</v>
      </c>
      <c r="C11" s="211" t="s">
        <v>19</v>
      </c>
      <c r="D11" s="628" t="s">
        <v>36</v>
      </c>
      <c r="E11" s="398" t="s">
        <v>37</v>
      </c>
      <c r="F11" s="427" t="s">
        <v>38</v>
      </c>
      <c r="G11" s="695" t="s">
        <v>39</v>
      </c>
      <c r="H11" s="696" t="s">
        <v>40</v>
      </c>
      <c r="I11" s="670"/>
      <c r="J11" s="18" t="s">
        <v>34</v>
      </c>
      <c r="K11" s="18" t="s">
        <v>34</v>
      </c>
      <c r="L11" s="18" t="s">
        <v>34</v>
      </c>
      <c r="M11" s="18">
        <v>1</v>
      </c>
      <c r="N11" s="18">
        <v>2</v>
      </c>
      <c r="O11" s="456">
        <v>3</v>
      </c>
      <c r="P11" s="671" t="s">
        <v>38</v>
      </c>
    </row>
    <row r="12" spans="1:16" s="86" customFormat="1" ht="262.5">
      <c r="A12" s="215" t="s">
        <v>41</v>
      </c>
      <c r="B12" s="621" t="s">
        <v>18</v>
      </c>
      <c r="C12" s="211" t="s">
        <v>19</v>
      </c>
      <c r="D12" s="624"/>
      <c r="E12" s="243" t="s">
        <v>30</v>
      </c>
      <c r="F12" s="19" t="s">
        <v>42</v>
      </c>
      <c r="G12" s="695" t="s">
        <v>43</v>
      </c>
      <c r="H12" s="630" t="s">
        <v>44</v>
      </c>
      <c r="I12" s="670"/>
      <c r="J12" s="18" t="s">
        <v>34</v>
      </c>
      <c r="K12" s="18" t="s">
        <v>34</v>
      </c>
      <c r="L12" s="18" t="s">
        <v>34</v>
      </c>
      <c r="M12" s="18" t="s">
        <v>34</v>
      </c>
      <c r="N12" s="18">
        <v>1</v>
      </c>
      <c r="O12" s="456">
        <v>1</v>
      </c>
      <c r="P12" s="671" t="s">
        <v>42</v>
      </c>
    </row>
    <row r="13" spans="1:16" s="86" customFormat="1" ht="315" customHeight="1">
      <c r="A13" s="215" t="s">
        <v>45</v>
      </c>
      <c r="B13" s="621" t="s">
        <v>46</v>
      </c>
      <c r="C13" s="211" t="s">
        <v>19</v>
      </c>
      <c r="D13" s="891" t="s">
        <v>47</v>
      </c>
      <c r="E13" s="882" t="s">
        <v>48</v>
      </c>
      <c r="F13" s="882" t="s">
        <v>49</v>
      </c>
      <c r="G13" s="632" t="s">
        <v>50</v>
      </c>
      <c r="H13" s="640" t="s">
        <v>51</v>
      </c>
      <c r="I13" s="380"/>
      <c r="J13" s="18" t="s">
        <v>34</v>
      </c>
      <c r="K13" s="18" t="s">
        <v>34</v>
      </c>
      <c r="L13" s="18" t="s">
        <v>34</v>
      </c>
      <c r="M13" s="18">
        <v>85</v>
      </c>
      <c r="N13" s="18">
        <v>90</v>
      </c>
      <c r="O13" s="456">
        <v>90</v>
      </c>
      <c r="P13" s="208" t="s">
        <v>49</v>
      </c>
    </row>
    <row r="14" spans="1:16" s="86" customFormat="1" ht="207.75" customHeight="1">
      <c r="A14" s="215" t="s">
        <v>45</v>
      </c>
      <c r="B14" s="621" t="s">
        <v>46</v>
      </c>
      <c r="C14" s="211" t="s">
        <v>19</v>
      </c>
      <c r="D14" s="892"/>
      <c r="E14" s="883"/>
      <c r="F14" s="883"/>
      <c r="G14" s="632" t="s">
        <v>52</v>
      </c>
      <c r="H14" s="631"/>
      <c r="I14" s="605" t="s">
        <v>53</v>
      </c>
      <c r="J14" s="18" t="s">
        <v>34</v>
      </c>
      <c r="K14" s="18" t="s">
        <v>34</v>
      </c>
      <c r="L14" s="18" t="s">
        <v>34</v>
      </c>
      <c r="M14" s="18">
        <v>50</v>
      </c>
      <c r="N14" s="18">
        <v>70</v>
      </c>
      <c r="O14" s="456">
        <v>90</v>
      </c>
      <c r="P14" s="208" t="s">
        <v>49</v>
      </c>
    </row>
    <row r="15" spans="1:16" s="86" customFormat="1" ht="236.25">
      <c r="A15" s="213"/>
      <c r="B15" s="621" t="s">
        <v>54</v>
      </c>
      <c r="C15" s="211" t="s">
        <v>19</v>
      </c>
      <c r="D15" s="892"/>
      <c r="E15" s="883"/>
      <c r="F15" s="883" t="s">
        <v>55</v>
      </c>
      <c r="G15" s="21" t="s">
        <v>56</v>
      </c>
      <c r="H15" s="633"/>
      <c r="I15" s="672" t="s">
        <v>57</v>
      </c>
      <c r="J15" s="18">
        <v>1</v>
      </c>
      <c r="K15" s="18">
        <v>1</v>
      </c>
      <c r="L15" s="18">
        <v>1</v>
      </c>
      <c r="M15" s="18">
        <v>1</v>
      </c>
      <c r="N15" s="18">
        <v>1</v>
      </c>
      <c r="O15" s="456">
        <v>1</v>
      </c>
      <c r="P15" s="208" t="s">
        <v>58</v>
      </c>
    </row>
    <row r="16" spans="1:16" s="86" customFormat="1" ht="131.25">
      <c r="A16" s="213"/>
      <c r="B16" s="621" t="s">
        <v>54</v>
      </c>
      <c r="C16" s="211" t="s">
        <v>19</v>
      </c>
      <c r="D16" s="892"/>
      <c r="E16" s="883"/>
      <c r="F16" s="883"/>
      <c r="G16" s="21" t="s">
        <v>59</v>
      </c>
      <c r="H16" s="633"/>
      <c r="I16" s="672" t="s">
        <v>60</v>
      </c>
      <c r="J16" s="18">
        <v>1</v>
      </c>
      <c r="K16" s="18">
        <v>1</v>
      </c>
      <c r="L16" s="18">
        <v>1</v>
      </c>
      <c r="M16" s="18">
        <v>1</v>
      </c>
      <c r="N16" s="18">
        <v>1</v>
      </c>
      <c r="O16" s="456">
        <v>1</v>
      </c>
      <c r="P16" s="208" t="s">
        <v>61</v>
      </c>
    </row>
    <row r="17" spans="1:16" s="86" customFormat="1" ht="236.25">
      <c r="A17" s="215"/>
      <c r="B17" s="621" t="s">
        <v>46</v>
      </c>
      <c r="C17" s="211" t="s">
        <v>19</v>
      </c>
      <c r="D17" s="892"/>
      <c r="E17" s="883"/>
      <c r="F17" s="883"/>
      <c r="G17" s="21" t="s">
        <v>62</v>
      </c>
      <c r="H17" s="633"/>
      <c r="I17" s="672" t="s">
        <v>63</v>
      </c>
      <c r="J17" s="18" t="s">
        <v>34</v>
      </c>
      <c r="K17" s="18" t="s">
        <v>64</v>
      </c>
      <c r="L17" s="18">
        <v>100</v>
      </c>
      <c r="M17" s="18">
        <v>100</v>
      </c>
      <c r="N17" s="18">
        <v>100</v>
      </c>
      <c r="O17" s="456">
        <v>100</v>
      </c>
      <c r="P17" s="208" t="s">
        <v>65</v>
      </c>
    </row>
    <row r="18" spans="1:16" s="86" customFormat="1" ht="262.5">
      <c r="A18" s="214"/>
      <c r="B18" s="621" t="s">
        <v>46</v>
      </c>
      <c r="C18" s="211" t="s">
        <v>19</v>
      </c>
      <c r="D18" s="892"/>
      <c r="E18" s="883"/>
      <c r="F18" s="883"/>
      <c r="G18" s="21" t="s">
        <v>66</v>
      </c>
      <c r="H18" s="631"/>
      <c r="I18" s="605" t="s">
        <v>67</v>
      </c>
      <c r="J18" s="18" t="s">
        <v>34</v>
      </c>
      <c r="K18" s="18" t="s">
        <v>34</v>
      </c>
      <c r="L18" s="18" t="s">
        <v>34</v>
      </c>
      <c r="M18" s="18">
        <v>80</v>
      </c>
      <c r="N18" s="18">
        <v>85</v>
      </c>
      <c r="O18" s="456">
        <v>90</v>
      </c>
      <c r="P18" s="208" t="s">
        <v>65</v>
      </c>
    </row>
    <row r="19" spans="1:16" s="86" customFormat="1" ht="150.75" customHeight="1">
      <c r="A19" s="214"/>
      <c r="B19" s="621" t="s">
        <v>46</v>
      </c>
      <c r="C19" s="211" t="s">
        <v>19</v>
      </c>
      <c r="D19" s="893"/>
      <c r="E19" s="884"/>
      <c r="F19" s="884"/>
      <c r="G19" s="21" t="s">
        <v>68</v>
      </c>
      <c r="H19" s="631"/>
      <c r="I19" s="605" t="s">
        <v>69</v>
      </c>
      <c r="J19" s="18" t="s">
        <v>34</v>
      </c>
      <c r="K19" s="18" t="s">
        <v>34</v>
      </c>
      <c r="L19" s="18" t="s">
        <v>34</v>
      </c>
      <c r="M19" s="18">
        <v>80</v>
      </c>
      <c r="N19" s="18">
        <v>85</v>
      </c>
      <c r="O19" s="456">
        <v>90</v>
      </c>
      <c r="P19" s="208" t="s">
        <v>70</v>
      </c>
    </row>
    <row r="20" spans="1:16" s="86" customFormat="1" ht="150" customHeight="1">
      <c r="A20" s="216"/>
      <c r="B20" s="621" t="s">
        <v>71</v>
      </c>
      <c r="C20" s="211" t="s">
        <v>19</v>
      </c>
      <c r="D20" s="894" t="s">
        <v>72</v>
      </c>
      <c r="E20" s="885" t="s">
        <v>73</v>
      </c>
      <c r="F20" s="885" t="s">
        <v>74</v>
      </c>
      <c r="G20" s="885" t="s">
        <v>75</v>
      </c>
      <c r="H20" s="697" t="s">
        <v>76</v>
      </c>
      <c r="I20" s="377"/>
      <c r="J20" s="18" t="s">
        <v>34</v>
      </c>
      <c r="K20" s="18" t="s">
        <v>77</v>
      </c>
      <c r="L20" s="18" t="s">
        <v>78</v>
      </c>
      <c r="M20" s="18" t="s">
        <v>79</v>
      </c>
      <c r="N20" s="18" t="s">
        <v>80</v>
      </c>
      <c r="O20" s="456" t="s">
        <v>81</v>
      </c>
      <c r="P20" s="208" t="s">
        <v>70</v>
      </c>
    </row>
    <row r="21" spans="1:16" s="86" customFormat="1" ht="152.25" customHeight="1">
      <c r="A21" s="216"/>
      <c r="B21" s="621" t="s">
        <v>71</v>
      </c>
      <c r="C21" s="211" t="s">
        <v>19</v>
      </c>
      <c r="D21" s="894"/>
      <c r="E21" s="885"/>
      <c r="F21" s="885"/>
      <c r="G21" s="885"/>
      <c r="H21" s="633"/>
      <c r="I21" s="672" t="s">
        <v>82</v>
      </c>
      <c r="J21" s="18" t="s">
        <v>34</v>
      </c>
      <c r="K21" s="18" t="s">
        <v>34</v>
      </c>
      <c r="L21" s="18">
        <v>2</v>
      </c>
      <c r="M21" s="18">
        <v>2</v>
      </c>
      <c r="N21" s="18">
        <v>3</v>
      </c>
      <c r="O21" s="456">
        <v>3</v>
      </c>
      <c r="P21" s="208" t="s">
        <v>70</v>
      </c>
    </row>
    <row r="22" spans="1:16" s="86" customFormat="1" ht="409.5">
      <c r="A22" s="634"/>
      <c r="B22" s="621" t="s">
        <v>71</v>
      </c>
      <c r="C22" s="211" t="s">
        <v>19</v>
      </c>
      <c r="D22" s="36" t="s">
        <v>83</v>
      </c>
      <c r="E22" s="21" t="s">
        <v>84</v>
      </c>
      <c r="F22" s="21" t="s">
        <v>85</v>
      </c>
      <c r="G22" s="21" t="s">
        <v>86</v>
      </c>
      <c r="H22" s="697" t="s">
        <v>87</v>
      </c>
      <c r="I22" s="377"/>
      <c r="J22" s="18" t="s">
        <v>34</v>
      </c>
      <c r="K22" s="18">
        <v>1</v>
      </c>
      <c r="L22" s="18">
        <v>2</v>
      </c>
      <c r="M22" s="18">
        <v>3</v>
      </c>
      <c r="N22" s="18">
        <v>4</v>
      </c>
      <c r="O22" s="456">
        <v>5</v>
      </c>
      <c r="P22" s="671" t="s">
        <v>85</v>
      </c>
    </row>
    <row r="23" spans="1:16" s="86" customFormat="1" ht="26.25" customHeight="1">
      <c r="A23" s="634"/>
      <c r="B23" s="635"/>
      <c r="C23" s="207"/>
      <c r="D23" s="907" t="s">
        <v>88</v>
      </c>
      <c r="E23" s="876"/>
      <c r="F23" s="876"/>
      <c r="G23" s="876"/>
      <c r="H23" s="876"/>
      <c r="I23" s="876"/>
      <c r="J23" s="876"/>
      <c r="K23" s="876"/>
      <c r="L23" s="876"/>
      <c r="M23" s="876"/>
      <c r="N23" s="876"/>
      <c r="O23" s="877"/>
      <c r="P23" s="270"/>
    </row>
    <row r="24" spans="1:16" s="86" customFormat="1" ht="243.75" customHeight="1">
      <c r="A24" s="214"/>
      <c r="B24" s="621" t="s">
        <v>89</v>
      </c>
      <c r="C24" s="211" t="s">
        <v>19</v>
      </c>
      <c r="D24" s="891" t="s">
        <v>90</v>
      </c>
      <c r="E24" s="367" t="s">
        <v>91</v>
      </c>
      <c r="F24" s="188" t="s">
        <v>92</v>
      </c>
      <c r="G24" s="21" t="s">
        <v>93</v>
      </c>
      <c r="H24" s="640" t="s">
        <v>94</v>
      </c>
      <c r="I24" s="380"/>
      <c r="J24" s="18" t="s">
        <v>34</v>
      </c>
      <c r="K24" s="18" t="s">
        <v>34</v>
      </c>
      <c r="L24" s="18">
        <v>80</v>
      </c>
      <c r="M24" s="18">
        <v>80</v>
      </c>
      <c r="N24" s="18">
        <v>90</v>
      </c>
      <c r="O24" s="456">
        <v>90</v>
      </c>
      <c r="P24" s="674" t="s">
        <v>92</v>
      </c>
    </row>
    <row r="25" spans="1:16" s="86" customFormat="1" ht="157.5" customHeight="1">
      <c r="A25" s="214"/>
      <c r="B25" s="621" t="s">
        <v>89</v>
      </c>
      <c r="C25" s="211" t="s">
        <v>19</v>
      </c>
      <c r="D25" s="892"/>
      <c r="E25" s="367" t="s">
        <v>95</v>
      </c>
      <c r="F25" s="208" t="s">
        <v>96</v>
      </c>
      <c r="G25" s="21" t="s">
        <v>97</v>
      </c>
      <c r="H25" s="631"/>
      <c r="I25" s="605" t="s">
        <v>98</v>
      </c>
      <c r="J25" s="18" t="s">
        <v>34</v>
      </c>
      <c r="K25" s="18" t="s">
        <v>34</v>
      </c>
      <c r="L25" s="18">
        <v>80</v>
      </c>
      <c r="M25" s="18">
        <v>80</v>
      </c>
      <c r="N25" s="18">
        <v>90</v>
      </c>
      <c r="O25" s="456">
        <v>90</v>
      </c>
      <c r="P25" s="208" t="s">
        <v>96</v>
      </c>
    </row>
    <row r="26" spans="1:16" s="86" customFormat="1" ht="131.25">
      <c r="A26" s="214"/>
      <c r="B26" s="621" t="s">
        <v>89</v>
      </c>
      <c r="C26" s="211" t="s">
        <v>19</v>
      </c>
      <c r="D26" s="892"/>
      <c r="E26" s="636" t="s">
        <v>99</v>
      </c>
      <c r="F26" s="187" t="s">
        <v>100</v>
      </c>
      <c r="G26" s="21" t="s">
        <v>101</v>
      </c>
      <c r="H26" s="631"/>
      <c r="I26" s="605" t="s">
        <v>102</v>
      </c>
      <c r="J26" s="18" t="s">
        <v>34</v>
      </c>
      <c r="K26" s="18" t="s">
        <v>34</v>
      </c>
      <c r="L26" s="18">
        <v>80</v>
      </c>
      <c r="M26" s="18">
        <v>80</v>
      </c>
      <c r="N26" s="18">
        <v>90</v>
      </c>
      <c r="O26" s="456">
        <v>90</v>
      </c>
      <c r="P26" s="208" t="s">
        <v>100</v>
      </c>
    </row>
    <row r="27" spans="1:16" s="86" customFormat="1" ht="131.25">
      <c r="A27" s="214"/>
      <c r="B27" s="621" t="s">
        <v>89</v>
      </c>
      <c r="C27" s="211" t="s">
        <v>19</v>
      </c>
      <c r="D27" s="892"/>
      <c r="E27" s="637"/>
      <c r="F27" s="254"/>
      <c r="G27" s="21"/>
      <c r="H27" s="631"/>
      <c r="I27" s="605" t="s">
        <v>103</v>
      </c>
      <c r="J27" s="18" t="s">
        <v>34</v>
      </c>
      <c r="K27" s="18" t="s">
        <v>34</v>
      </c>
      <c r="L27" s="18">
        <v>90</v>
      </c>
      <c r="M27" s="18">
        <v>92</v>
      </c>
      <c r="N27" s="18">
        <v>94</v>
      </c>
      <c r="O27" s="456">
        <v>96</v>
      </c>
      <c r="P27" s="208" t="s">
        <v>100</v>
      </c>
    </row>
    <row r="28" spans="1:16" s="86" customFormat="1" ht="131.25">
      <c r="A28" s="214"/>
      <c r="B28" s="621" t="s">
        <v>89</v>
      </c>
      <c r="C28" s="211" t="s">
        <v>19</v>
      </c>
      <c r="D28" s="892"/>
      <c r="E28" s="637"/>
      <c r="F28" s="254"/>
      <c r="G28" s="21"/>
      <c r="H28" s="631"/>
      <c r="I28" s="605" t="s">
        <v>104</v>
      </c>
      <c r="J28" s="18" t="s">
        <v>34</v>
      </c>
      <c r="K28" s="18" t="s">
        <v>34</v>
      </c>
      <c r="L28" s="18">
        <v>90</v>
      </c>
      <c r="M28" s="18">
        <v>92</v>
      </c>
      <c r="N28" s="18">
        <v>94</v>
      </c>
      <c r="O28" s="456">
        <v>96</v>
      </c>
      <c r="P28" s="208" t="s">
        <v>100</v>
      </c>
    </row>
    <row r="29" spans="1:16" s="86" customFormat="1" ht="236.25">
      <c r="A29" s="214"/>
      <c r="B29" s="621" t="s">
        <v>89</v>
      </c>
      <c r="C29" s="211" t="s">
        <v>19</v>
      </c>
      <c r="D29" s="893"/>
      <c r="E29" s="367" t="s">
        <v>105</v>
      </c>
      <c r="F29" s="188" t="s">
        <v>106</v>
      </c>
      <c r="G29" s="21" t="s">
        <v>107</v>
      </c>
      <c r="H29" s="631"/>
      <c r="I29" s="605" t="s">
        <v>108</v>
      </c>
      <c r="J29" s="18">
        <v>100</v>
      </c>
      <c r="K29" s="18">
        <v>100</v>
      </c>
      <c r="L29" s="18">
        <v>100</v>
      </c>
      <c r="M29" s="18">
        <v>100</v>
      </c>
      <c r="N29" s="18">
        <v>100</v>
      </c>
      <c r="O29" s="456">
        <v>100</v>
      </c>
      <c r="P29" s="674" t="s">
        <v>106</v>
      </c>
    </row>
    <row r="30" spans="1:16" s="86" customFormat="1" ht="262.5">
      <c r="A30" s="215" t="s">
        <v>109</v>
      </c>
      <c r="B30" s="621" t="s">
        <v>89</v>
      </c>
      <c r="C30" s="211" t="s">
        <v>19</v>
      </c>
      <c r="D30" s="891" t="s">
        <v>110</v>
      </c>
      <c r="E30" s="882" t="s">
        <v>111</v>
      </c>
      <c r="F30" s="188" t="s">
        <v>112</v>
      </c>
      <c r="G30" s="698" t="s">
        <v>113</v>
      </c>
      <c r="H30" s="697" t="s">
        <v>114</v>
      </c>
      <c r="I30" s="377"/>
      <c r="J30" s="18" t="s">
        <v>34</v>
      </c>
      <c r="K30" s="18" t="s">
        <v>34</v>
      </c>
      <c r="L30" s="18" t="s">
        <v>34</v>
      </c>
      <c r="M30" s="18">
        <v>85</v>
      </c>
      <c r="N30" s="18">
        <v>85</v>
      </c>
      <c r="O30" s="456">
        <v>85</v>
      </c>
      <c r="P30" s="674" t="s">
        <v>112</v>
      </c>
    </row>
    <row r="31" spans="1:16" s="86" customFormat="1" ht="262.5">
      <c r="A31" s="216" t="s">
        <v>115</v>
      </c>
      <c r="B31" s="621" t="s">
        <v>116</v>
      </c>
      <c r="C31" s="211" t="s">
        <v>19</v>
      </c>
      <c r="D31" s="893"/>
      <c r="E31" s="884"/>
      <c r="F31" s="188" t="s">
        <v>112</v>
      </c>
      <c r="G31" s="699" t="s">
        <v>117</v>
      </c>
      <c r="H31" s="697" t="s">
        <v>118</v>
      </c>
      <c r="I31" s="377"/>
      <c r="J31" s="18" t="s">
        <v>34</v>
      </c>
      <c r="K31" s="18" t="s">
        <v>34</v>
      </c>
      <c r="L31" s="18" t="s">
        <v>34</v>
      </c>
      <c r="M31" s="18">
        <v>85</v>
      </c>
      <c r="N31" s="18">
        <v>90</v>
      </c>
      <c r="O31" s="456">
        <v>90</v>
      </c>
      <c r="P31" s="674" t="s">
        <v>112</v>
      </c>
    </row>
    <row r="32" spans="1:16" s="86" customFormat="1" ht="143.25" customHeight="1">
      <c r="A32" s="216"/>
      <c r="B32" s="621" t="s">
        <v>18</v>
      </c>
      <c r="C32" s="211" t="s">
        <v>119</v>
      </c>
      <c r="D32" s="894" t="s">
        <v>120</v>
      </c>
      <c r="E32" s="885" t="s">
        <v>111</v>
      </c>
      <c r="F32" s="882" t="s">
        <v>121</v>
      </c>
      <c r="G32" s="21" t="s">
        <v>122</v>
      </c>
      <c r="H32" s="640" t="s">
        <v>123</v>
      </c>
      <c r="I32" s="595" t="s">
        <v>124</v>
      </c>
      <c r="J32" s="18">
        <v>100</v>
      </c>
      <c r="K32" s="18">
        <v>100</v>
      </c>
      <c r="L32" s="18">
        <v>100</v>
      </c>
      <c r="M32" s="18">
        <v>100</v>
      </c>
      <c r="N32" s="18">
        <v>100</v>
      </c>
      <c r="O32" s="456">
        <v>100</v>
      </c>
      <c r="P32" s="984" t="s">
        <v>121</v>
      </c>
    </row>
    <row r="33" spans="1:16" s="86" customFormat="1" ht="105">
      <c r="A33" s="634"/>
      <c r="B33" s="635"/>
      <c r="C33" s="207"/>
      <c r="D33" s="894"/>
      <c r="E33" s="885"/>
      <c r="F33" s="884"/>
      <c r="G33" s="21" t="s">
        <v>125</v>
      </c>
      <c r="H33" s="631"/>
      <c r="I33" s="480"/>
      <c r="J33" s="18" t="s">
        <v>34</v>
      </c>
      <c r="K33" s="18" t="s">
        <v>34</v>
      </c>
      <c r="L33" s="18" t="s">
        <v>34</v>
      </c>
      <c r="M33" s="18" t="s">
        <v>34</v>
      </c>
      <c r="N33" s="18" t="s">
        <v>126</v>
      </c>
      <c r="O33" s="456" t="s">
        <v>127</v>
      </c>
      <c r="P33" s="985"/>
    </row>
    <row r="34" spans="1:16" s="86" customFormat="1" ht="26.25" customHeight="1">
      <c r="A34" s="634"/>
      <c r="B34" s="635"/>
      <c r="C34" s="207"/>
      <c r="D34" s="700" t="s">
        <v>3</v>
      </c>
      <c r="E34" s="967" t="s">
        <v>128</v>
      </c>
      <c r="F34" s="967"/>
      <c r="G34" s="967"/>
      <c r="H34" s="967"/>
      <c r="I34" s="967"/>
      <c r="J34" s="967"/>
      <c r="K34" s="967"/>
      <c r="L34" s="967"/>
      <c r="M34" s="967"/>
      <c r="N34" s="967"/>
      <c r="O34" s="968"/>
      <c r="P34" s="716"/>
    </row>
    <row r="35" spans="1:16" s="86" customFormat="1" ht="26.25" customHeight="1">
      <c r="A35" s="634"/>
      <c r="B35" s="635"/>
      <c r="C35" s="207"/>
      <c r="D35" s="907" t="s">
        <v>129</v>
      </c>
      <c r="E35" s="876"/>
      <c r="F35" s="876"/>
      <c r="G35" s="876"/>
      <c r="H35" s="876"/>
      <c r="I35" s="876"/>
      <c r="J35" s="876"/>
      <c r="K35" s="876"/>
      <c r="L35" s="876"/>
      <c r="M35" s="876"/>
      <c r="N35" s="876"/>
      <c r="O35" s="877"/>
      <c r="P35" s="270"/>
    </row>
    <row r="36" spans="1:16" s="86" customFormat="1" ht="367.5">
      <c r="A36" s="641"/>
      <c r="B36" s="642" t="s">
        <v>130</v>
      </c>
      <c r="C36" s="643" t="s">
        <v>19</v>
      </c>
      <c r="D36" s="36" t="s">
        <v>131</v>
      </c>
      <c r="E36" s="21" t="s">
        <v>132</v>
      </c>
      <c r="F36" s="21" t="s">
        <v>133</v>
      </c>
      <c r="G36" s="21" t="s">
        <v>134</v>
      </c>
      <c r="H36" s="701"/>
      <c r="I36" s="672" t="s">
        <v>135</v>
      </c>
      <c r="J36" s="18" t="s">
        <v>136</v>
      </c>
      <c r="K36" s="18" t="s">
        <v>136</v>
      </c>
      <c r="L36" s="18" t="s">
        <v>136</v>
      </c>
      <c r="M36" s="18">
        <v>100</v>
      </c>
      <c r="N36" s="18" t="s">
        <v>136</v>
      </c>
      <c r="O36" s="456" t="s">
        <v>136</v>
      </c>
      <c r="P36" s="208" t="s">
        <v>137</v>
      </c>
    </row>
    <row r="37" spans="1:16" s="86" customFormat="1" ht="26.25" customHeight="1">
      <c r="A37" s="634"/>
      <c r="B37" s="635"/>
      <c r="C37" s="207"/>
      <c r="D37" s="971" t="s">
        <v>138</v>
      </c>
      <c r="E37" s="972"/>
      <c r="F37" s="972"/>
      <c r="G37" s="972"/>
      <c r="H37" s="972"/>
      <c r="I37" s="972"/>
      <c r="J37" s="972"/>
      <c r="K37" s="972"/>
      <c r="L37" s="972"/>
      <c r="M37" s="972"/>
      <c r="N37" s="972"/>
      <c r="O37" s="973"/>
      <c r="P37" s="717"/>
    </row>
    <row r="38" spans="1:16" s="86" customFormat="1" ht="131.25" customHeight="1">
      <c r="A38" s="215" t="s">
        <v>139</v>
      </c>
      <c r="B38" s="621" t="s">
        <v>140</v>
      </c>
      <c r="C38" s="211" t="s">
        <v>19</v>
      </c>
      <c r="D38" s="645" t="s">
        <v>141</v>
      </c>
      <c r="E38" s="188" t="s">
        <v>142</v>
      </c>
      <c r="F38" s="188" t="s">
        <v>143</v>
      </c>
      <c r="G38" s="188" t="s">
        <v>144</v>
      </c>
      <c r="H38" s="640" t="s">
        <v>145</v>
      </c>
      <c r="I38" s="380"/>
      <c r="J38" s="18" t="s">
        <v>34</v>
      </c>
      <c r="K38" s="18">
        <v>1</v>
      </c>
      <c r="L38" s="18">
        <v>2</v>
      </c>
      <c r="M38" s="18">
        <v>3</v>
      </c>
      <c r="N38" s="18">
        <v>4</v>
      </c>
      <c r="O38" s="456">
        <v>5</v>
      </c>
      <c r="P38" s="208" t="s">
        <v>143</v>
      </c>
    </row>
    <row r="39" spans="1:16" s="86" customFormat="1" ht="393.75">
      <c r="A39" s="215" t="s">
        <v>139</v>
      </c>
      <c r="B39" s="621" t="s">
        <v>140</v>
      </c>
      <c r="C39" s="211" t="s">
        <v>19</v>
      </c>
      <c r="D39" s="645" t="s">
        <v>146</v>
      </c>
      <c r="E39" s="188"/>
      <c r="F39" s="188"/>
      <c r="G39" s="188" t="s">
        <v>147</v>
      </c>
      <c r="H39" s="631"/>
      <c r="I39" s="605" t="s">
        <v>148</v>
      </c>
      <c r="J39" s="18" t="s">
        <v>34</v>
      </c>
      <c r="K39" s="18">
        <v>1</v>
      </c>
      <c r="L39" s="18">
        <v>2</v>
      </c>
      <c r="M39" s="18">
        <v>3</v>
      </c>
      <c r="N39" s="18">
        <v>4</v>
      </c>
      <c r="O39" s="456">
        <v>5</v>
      </c>
      <c r="P39" s="208" t="s">
        <v>143</v>
      </c>
    </row>
    <row r="40" spans="1:16" s="86" customFormat="1" ht="409.5">
      <c r="A40" s="215" t="s">
        <v>139</v>
      </c>
      <c r="B40" s="621" t="s">
        <v>140</v>
      </c>
      <c r="C40" s="211" t="s">
        <v>19</v>
      </c>
      <c r="D40" s="646" t="s">
        <v>149</v>
      </c>
      <c r="E40" s="188"/>
      <c r="F40" s="188"/>
      <c r="G40" s="188" t="s">
        <v>150</v>
      </c>
      <c r="H40" s="633"/>
      <c r="I40" s="672" t="s">
        <v>151</v>
      </c>
      <c r="J40" s="18" t="s">
        <v>34</v>
      </c>
      <c r="K40" s="18">
        <v>1</v>
      </c>
      <c r="L40" s="18">
        <v>2</v>
      </c>
      <c r="M40" s="18">
        <v>3</v>
      </c>
      <c r="N40" s="18">
        <v>4</v>
      </c>
      <c r="O40" s="456">
        <v>5</v>
      </c>
      <c r="P40" s="208" t="s">
        <v>143</v>
      </c>
    </row>
    <row r="41" spans="1:16" s="86" customFormat="1" ht="262.5">
      <c r="A41" s="215" t="s">
        <v>139</v>
      </c>
      <c r="B41" s="621" t="s">
        <v>140</v>
      </c>
      <c r="C41" s="211" t="s">
        <v>19</v>
      </c>
      <c r="D41" s="645" t="s">
        <v>152</v>
      </c>
      <c r="E41" s="188"/>
      <c r="F41" s="188"/>
      <c r="G41" s="188" t="s">
        <v>153</v>
      </c>
      <c r="H41" s="633"/>
      <c r="I41" s="672" t="s">
        <v>154</v>
      </c>
      <c r="J41" s="18" t="s">
        <v>34</v>
      </c>
      <c r="K41" s="18">
        <v>1</v>
      </c>
      <c r="L41" s="18">
        <v>2</v>
      </c>
      <c r="M41" s="18">
        <v>3</v>
      </c>
      <c r="N41" s="18">
        <v>4</v>
      </c>
      <c r="O41" s="456">
        <v>5</v>
      </c>
      <c r="P41" s="208" t="s">
        <v>143</v>
      </c>
    </row>
    <row r="42" spans="1:16" s="86" customFormat="1" ht="157.5">
      <c r="A42" s="647" t="s">
        <v>139</v>
      </c>
      <c r="B42" s="648" t="s">
        <v>140</v>
      </c>
      <c r="C42" s="649" t="s">
        <v>19</v>
      </c>
      <c r="D42" s="26"/>
      <c r="E42" s="15"/>
      <c r="F42" s="15"/>
      <c r="G42" s="702" t="s">
        <v>155</v>
      </c>
      <c r="H42" s="703" t="s">
        <v>156</v>
      </c>
      <c r="I42" s="718"/>
      <c r="J42" s="538" t="s">
        <v>34</v>
      </c>
      <c r="K42" s="538" t="s">
        <v>34</v>
      </c>
      <c r="L42" s="538" t="s">
        <v>34</v>
      </c>
      <c r="M42" s="538" t="s">
        <v>81</v>
      </c>
      <c r="N42" s="719" t="s">
        <v>157</v>
      </c>
      <c r="O42" s="720" t="s">
        <v>157</v>
      </c>
      <c r="P42" s="683" t="s">
        <v>143</v>
      </c>
    </row>
    <row r="43" spans="1:16" s="86" customFormat="1" ht="131.25">
      <c r="A43" s="651"/>
      <c r="B43" s="652" t="s">
        <v>140</v>
      </c>
      <c r="C43" s="653" t="s">
        <v>19</v>
      </c>
      <c r="D43" s="507"/>
      <c r="E43" s="427"/>
      <c r="F43" s="427"/>
      <c r="G43" s="427"/>
      <c r="H43" s="704"/>
      <c r="I43" s="721" t="s">
        <v>158</v>
      </c>
      <c r="J43" s="722" t="s">
        <v>34</v>
      </c>
      <c r="K43" s="722" t="s">
        <v>34</v>
      </c>
      <c r="L43" s="722" t="s">
        <v>34</v>
      </c>
      <c r="M43" s="722">
        <v>60</v>
      </c>
      <c r="N43" s="722">
        <v>70</v>
      </c>
      <c r="O43" s="723">
        <v>80</v>
      </c>
      <c r="P43" s="683" t="s">
        <v>143</v>
      </c>
    </row>
    <row r="44" spans="1:16" s="86" customFormat="1" ht="142.5" customHeight="1">
      <c r="A44" s="655" t="s">
        <v>139</v>
      </c>
      <c r="B44" s="656" t="s">
        <v>140</v>
      </c>
      <c r="C44" s="657" t="s">
        <v>19</v>
      </c>
      <c r="D44" s="658" t="s">
        <v>159</v>
      </c>
      <c r="E44" s="659" t="s">
        <v>160</v>
      </c>
      <c r="F44" s="659" t="s">
        <v>143</v>
      </c>
      <c r="G44" s="660" t="s">
        <v>161</v>
      </c>
      <c r="H44" s="705"/>
      <c r="I44" s="724" t="s">
        <v>162</v>
      </c>
      <c r="J44" s="725" t="s">
        <v>34</v>
      </c>
      <c r="K44" s="725" t="s">
        <v>34</v>
      </c>
      <c r="L44" s="725" t="s">
        <v>34</v>
      </c>
      <c r="M44" s="725" t="s">
        <v>81</v>
      </c>
      <c r="N44" s="725" t="s">
        <v>157</v>
      </c>
      <c r="O44" s="726" t="s">
        <v>157</v>
      </c>
      <c r="P44" s="690" t="s">
        <v>143</v>
      </c>
    </row>
    <row r="45" spans="1:16" s="1" customFormat="1" ht="54.75" customHeight="1">
      <c r="A45" s="811" t="s">
        <v>0</v>
      </c>
      <c r="B45" s="812"/>
      <c r="C45" s="813"/>
      <c r="D45" s="706" t="s">
        <v>163</v>
      </c>
      <c r="E45" s="974" t="s">
        <v>164</v>
      </c>
      <c r="F45" s="975"/>
      <c r="G45" s="975"/>
      <c r="H45" s="975"/>
      <c r="I45" s="975"/>
      <c r="J45" s="975"/>
      <c r="K45" s="975"/>
      <c r="L45" s="975"/>
      <c r="M45" s="975"/>
      <c r="N45" s="975"/>
      <c r="O45" s="975"/>
      <c r="P45" s="976"/>
    </row>
    <row r="46" spans="1:16" s="1" customFormat="1" ht="26.25" customHeight="1">
      <c r="A46" s="814"/>
      <c r="B46" s="815"/>
      <c r="C46" s="816"/>
      <c r="D46" s="707" t="s">
        <v>3</v>
      </c>
      <c r="E46" s="977" t="s">
        <v>165</v>
      </c>
      <c r="F46" s="956"/>
      <c r="G46" s="956"/>
      <c r="H46" s="956"/>
      <c r="I46" s="956"/>
      <c r="J46" s="956"/>
      <c r="K46" s="956"/>
      <c r="L46" s="956"/>
      <c r="M46" s="956"/>
      <c r="N46" s="956"/>
      <c r="O46" s="978"/>
      <c r="P46" s="727"/>
    </row>
    <row r="47" spans="1:16" s="1" customFormat="1" ht="26.25" customHeight="1">
      <c r="A47" s="849" t="s">
        <v>5</v>
      </c>
      <c r="B47" s="809" t="s">
        <v>6</v>
      </c>
      <c r="C47" s="810" t="s">
        <v>7</v>
      </c>
      <c r="D47" s="895" t="s">
        <v>8</v>
      </c>
      <c r="E47" s="886" t="s">
        <v>9</v>
      </c>
      <c r="F47" s="953" t="s">
        <v>166</v>
      </c>
      <c r="G47" s="953" t="s">
        <v>11</v>
      </c>
      <c r="H47" s="953" t="s">
        <v>12</v>
      </c>
      <c r="I47" s="947" t="s">
        <v>13</v>
      </c>
      <c r="J47" s="953" t="s">
        <v>14</v>
      </c>
      <c r="K47" s="953"/>
      <c r="L47" s="953"/>
      <c r="M47" s="953"/>
      <c r="N47" s="953"/>
      <c r="O47" s="954"/>
      <c r="P47" s="964" t="s">
        <v>15</v>
      </c>
    </row>
    <row r="48" spans="1:16" s="1" customFormat="1">
      <c r="A48" s="850"/>
      <c r="B48" s="919"/>
      <c r="C48" s="843"/>
      <c r="D48" s="896"/>
      <c r="E48" s="887"/>
      <c r="F48" s="959"/>
      <c r="G48" s="959"/>
      <c r="H48" s="959"/>
      <c r="I48" s="948"/>
      <c r="J48" s="708">
        <v>65</v>
      </c>
      <c r="K48" s="708">
        <v>66</v>
      </c>
      <c r="L48" s="708">
        <v>67</v>
      </c>
      <c r="M48" s="708">
        <v>68</v>
      </c>
      <c r="N48" s="708">
        <v>69</v>
      </c>
      <c r="O48" s="728">
        <v>70</v>
      </c>
      <c r="P48" s="965"/>
    </row>
    <row r="49" spans="1:16" s="1" customFormat="1" ht="26.25" customHeight="1">
      <c r="A49" s="258"/>
      <c r="B49" s="259"/>
      <c r="C49" s="512"/>
      <c r="D49" s="857" t="s">
        <v>167</v>
      </c>
      <c r="E49" s="858"/>
      <c r="F49" s="858"/>
      <c r="G49" s="858"/>
      <c r="H49" s="858"/>
      <c r="I49" s="858"/>
      <c r="J49" s="858"/>
      <c r="K49" s="858"/>
      <c r="L49" s="858"/>
      <c r="M49" s="858"/>
      <c r="N49" s="858"/>
      <c r="O49" s="955"/>
      <c r="P49" s="729"/>
    </row>
    <row r="50" spans="1:16" s="1" customFormat="1" ht="183.75" customHeight="1">
      <c r="A50" s="48" t="s">
        <v>168</v>
      </c>
      <c r="B50" s="62" t="s">
        <v>169</v>
      </c>
      <c r="C50" s="233" t="s">
        <v>19</v>
      </c>
      <c r="D50" s="894" t="s">
        <v>170</v>
      </c>
      <c r="E50" s="885" t="s">
        <v>171</v>
      </c>
      <c r="F50" s="885" t="s">
        <v>172</v>
      </c>
      <c r="G50" s="632" t="s">
        <v>173</v>
      </c>
      <c r="H50" s="709" t="s">
        <v>174</v>
      </c>
      <c r="I50" s="377"/>
      <c r="J50" s="18" t="s">
        <v>34</v>
      </c>
      <c r="K50" s="18">
        <v>2</v>
      </c>
      <c r="L50" s="18">
        <v>3</v>
      </c>
      <c r="M50" s="18">
        <v>4</v>
      </c>
      <c r="N50" s="51">
        <v>5</v>
      </c>
      <c r="O50" s="442">
        <v>6</v>
      </c>
      <c r="P50" s="237" t="s">
        <v>175</v>
      </c>
    </row>
    <row r="51" spans="1:16" s="1" customFormat="1" ht="131.25">
      <c r="A51" s="394" t="s">
        <v>176</v>
      </c>
      <c r="B51" s="62" t="s">
        <v>169</v>
      </c>
      <c r="C51" s="233" t="s">
        <v>19</v>
      </c>
      <c r="D51" s="897"/>
      <c r="E51" s="885"/>
      <c r="F51" s="885"/>
      <c r="G51" s="960"/>
      <c r="H51" s="562"/>
      <c r="I51" s="672" t="s">
        <v>177</v>
      </c>
      <c r="J51" s="18" t="s">
        <v>34</v>
      </c>
      <c r="K51" s="18" t="s">
        <v>34</v>
      </c>
      <c r="L51" s="18">
        <v>1</v>
      </c>
      <c r="M51" s="18">
        <v>1</v>
      </c>
      <c r="N51" s="51">
        <v>1</v>
      </c>
      <c r="O51" s="442">
        <v>1</v>
      </c>
      <c r="P51" s="237" t="s">
        <v>175</v>
      </c>
    </row>
    <row r="52" spans="1:16" s="1" customFormat="1" ht="105">
      <c r="A52" s="48" t="s">
        <v>178</v>
      </c>
      <c r="B52" s="62" t="s">
        <v>169</v>
      </c>
      <c r="C52" s="233" t="s">
        <v>19</v>
      </c>
      <c r="D52" s="897"/>
      <c r="E52" s="885"/>
      <c r="F52" s="885"/>
      <c r="G52" s="961"/>
      <c r="H52" s="562"/>
      <c r="I52" s="672" t="s">
        <v>179</v>
      </c>
      <c r="J52" s="18" t="s">
        <v>34</v>
      </c>
      <c r="K52" s="18" t="s">
        <v>34</v>
      </c>
      <c r="L52" s="18">
        <v>1</v>
      </c>
      <c r="M52" s="18">
        <v>2</v>
      </c>
      <c r="N52" s="51">
        <v>4</v>
      </c>
      <c r="O52" s="442">
        <v>5</v>
      </c>
      <c r="P52" s="237" t="s">
        <v>180</v>
      </c>
    </row>
    <row r="53" spans="1:16" s="1" customFormat="1" ht="78.75">
      <c r="A53" s="48" t="s">
        <v>178</v>
      </c>
      <c r="B53" s="62" t="s">
        <v>169</v>
      </c>
      <c r="C53" s="233" t="s">
        <v>19</v>
      </c>
      <c r="D53" s="897"/>
      <c r="E53" s="885"/>
      <c r="F53" s="885"/>
      <c r="G53" s="962"/>
      <c r="H53" s="562"/>
      <c r="I53" s="672" t="s">
        <v>181</v>
      </c>
      <c r="J53" s="18" t="s">
        <v>34</v>
      </c>
      <c r="K53" s="18" t="s">
        <v>34</v>
      </c>
      <c r="L53" s="18">
        <v>1</v>
      </c>
      <c r="M53" s="18">
        <v>2</v>
      </c>
      <c r="N53" s="51">
        <v>3</v>
      </c>
      <c r="O53" s="442">
        <v>4</v>
      </c>
      <c r="P53" s="237" t="s">
        <v>180</v>
      </c>
    </row>
    <row r="54" spans="1:16" s="1" customFormat="1" ht="306.75" customHeight="1">
      <c r="A54" s="48" t="s">
        <v>182</v>
      </c>
      <c r="B54" s="62" t="s">
        <v>183</v>
      </c>
      <c r="C54" s="233" t="s">
        <v>19</v>
      </c>
      <c r="D54" s="898" t="s">
        <v>184</v>
      </c>
      <c r="E54" s="189"/>
      <c r="F54" s="189"/>
      <c r="G54" s="632" t="s">
        <v>185</v>
      </c>
      <c r="H54" s="709" t="s">
        <v>186</v>
      </c>
      <c r="I54" s="377"/>
      <c r="J54" s="18">
        <v>31</v>
      </c>
      <c r="K54" s="18">
        <v>34</v>
      </c>
      <c r="L54" s="18">
        <v>47</v>
      </c>
      <c r="M54" s="18">
        <v>50</v>
      </c>
      <c r="N54" s="51">
        <v>55</v>
      </c>
      <c r="O54" s="442">
        <v>60</v>
      </c>
      <c r="P54" s="237" t="s">
        <v>180</v>
      </c>
    </row>
    <row r="55" spans="1:16" s="1" customFormat="1" ht="210">
      <c r="A55" s="48" t="s">
        <v>182</v>
      </c>
      <c r="B55" s="62" t="s">
        <v>183</v>
      </c>
      <c r="C55" s="233" t="s">
        <v>19</v>
      </c>
      <c r="D55" s="899"/>
      <c r="E55" s="19"/>
      <c r="F55" s="19"/>
      <c r="G55" s="632" t="s">
        <v>187</v>
      </c>
      <c r="H55" s="709" t="s">
        <v>188</v>
      </c>
      <c r="I55" s="591"/>
      <c r="J55" s="18" t="s">
        <v>34</v>
      </c>
      <c r="K55" s="18" t="s">
        <v>34</v>
      </c>
      <c r="L55" s="18">
        <v>65</v>
      </c>
      <c r="M55" s="18">
        <v>70</v>
      </c>
      <c r="N55" s="51">
        <v>70</v>
      </c>
      <c r="O55" s="442">
        <v>70</v>
      </c>
      <c r="P55" s="237" t="s">
        <v>180</v>
      </c>
    </row>
    <row r="56" spans="1:16" s="549" customFormat="1" ht="288.75">
      <c r="A56" s="48" t="s">
        <v>182</v>
      </c>
      <c r="B56" s="62" t="s">
        <v>183</v>
      </c>
      <c r="C56" s="233" t="s">
        <v>19</v>
      </c>
      <c r="D56" s="36" t="s">
        <v>189</v>
      </c>
      <c r="E56" s="21" t="s">
        <v>132</v>
      </c>
      <c r="F56" s="21" t="s">
        <v>180</v>
      </c>
      <c r="G56" s="21" t="s">
        <v>190</v>
      </c>
      <c r="H56" s="562"/>
      <c r="I56" s="672" t="s">
        <v>191</v>
      </c>
      <c r="J56" s="18">
        <v>40</v>
      </c>
      <c r="K56" s="18">
        <v>50</v>
      </c>
      <c r="L56" s="18">
        <v>65</v>
      </c>
      <c r="M56" s="18">
        <v>70</v>
      </c>
      <c r="N56" s="51">
        <v>75</v>
      </c>
      <c r="O56" s="442">
        <v>80</v>
      </c>
      <c r="P56" s="237" t="s">
        <v>180</v>
      </c>
    </row>
    <row r="57" spans="1:16" s="1" customFormat="1" ht="183.75">
      <c r="A57" s="48"/>
      <c r="B57" s="62" t="s">
        <v>192</v>
      </c>
      <c r="C57" s="233" t="s">
        <v>19</v>
      </c>
      <c r="D57" s="36" t="s">
        <v>193</v>
      </c>
      <c r="E57" s="21" t="s">
        <v>194</v>
      </c>
      <c r="F57" s="21" t="s">
        <v>195</v>
      </c>
      <c r="G57" s="21" t="s">
        <v>196</v>
      </c>
      <c r="H57" s="562"/>
      <c r="I57" s="672" t="s">
        <v>197</v>
      </c>
      <c r="J57" s="18" t="s">
        <v>34</v>
      </c>
      <c r="K57" s="18">
        <v>3</v>
      </c>
      <c r="L57" s="18">
        <v>10</v>
      </c>
      <c r="M57" s="18">
        <v>12</v>
      </c>
      <c r="N57" s="51">
        <v>14</v>
      </c>
      <c r="O57" s="442">
        <v>15</v>
      </c>
      <c r="P57" s="237" t="s">
        <v>195</v>
      </c>
    </row>
    <row r="58" spans="1:16" s="1" customFormat="1" ht="26.25" customHeight="1">
      <c r="A58" s="48"/>
      <c r="B58" s="62"/>
      <c r="C58" s="235"/>
      <c r="D58" s="907" t="s">
        <v>198</v>
      </c>
      <c r="E58" s="876"/>
      <c r="F58" s="876"/>
      <c r="G58" s="876"/>
      <c r="H58" s="876"/>
      <c r="I58" s="876"/>
      <c r="J58" s="876"/>
      <c r="K58" s="876"/>
      <c r="L58" s="876"/>
      <c r="M58" s="876"/>
      <c r="N58" s="876"/>
      <c r="O58" s="955"/>
      <c r="P58" s="455"/>
    </row>
    <row r="59" spans="1:16" s="1" customFormat="1" ht="308.25" customHeight="1">
      <c r="A59" s="48" t="s">
        <v>178</v>
      </c>
      <c r="B59" s="62" t="s">
        <v>199</v>
      </c>
      <c r="C59" s="233" t="s">
        <v>19</v>
      </c>
      <c r="D59" s="900" t="s">
        <v>200</v>
      </c>
      <c r="E59" s="882" t="s">
        <v>201</v>
      </c>
      <c r="F59" s="882" t="s">
        <v>202</v>
      </c>
      <c r="G59" s="963" t="s">
        <v>173</v>
      </c>
      <c r="H59" s="709" t="s">
        <v>203</v>
      </c>
      <c r="I59" s="377"/>
      <c r="J59" s="18" t="s">
        <v>34</v>
      </c>
      <c r="K59" s="18" t="s">
        <v>34</v>
      </c>
      <c r="L59" s="18">
        <v>2</v>
      </c>
      <c r="M59" s="18">
        <v>5</v>
      </c>
      <c r="N59" s="51">
        <v>8</v>
      </c>
      <c r="O59" s="442">
        <v>10</v>
      </c>
      <c r="P59" s="237" t="s">
        <v>204</v>
      </c>
    </row>
    <row r="60" spans="1:16" s="1" customFormat="1" ht="240.75" customHeight="1">
      <c r="A60" s="48" t="s">
        <v>178</v>
      </c>
      <c r="B60" s="62" t="s">
        <v>199</v>
      </c>
      <c r="C60" s="233" t="s">
        <v>19</v>
      </c>
      <c r="D60" s="901"/>
      <c r="E60" s="884"/>
      <c r="F60" s="884"/>
      <c r="G60" s="884"/>
      <c r="H60" s="562"/>
      <c r="I60" s="672" t="s">
        <v>205</v>
      </c>
      <c r="J60" s="18" t="s">
        <v>34</v>
      </c>
      <c r="K60" s="18" t="s">
        <v>34</v>
      </c>
      <c r="L60" s="18">
        <v>3</v>
      </c>
      <c r="M60" s="18">
        <v>6</v>
      </c>
      <c r="N60" s="51">
        <v>8</v>
      </c>
      <c r="O60" s="442">
        <v>10</v>
      </c>
      <c r="P60" s="237" t="s">
        <v>204</v>
      </c>
    </row>
    <row r="61" spans="1:16" s="1" customFormat="1" ht="26.25" customHeight="1">
      <c r="A61" s="48"/>
      <c r="B61" s="62"/>
      <c r="C61" s="235"/>
      <c r="D61" s="566" t="s">
        <v>3</v>
      </c>
      <c r="E61" s="956" t="s">
        <v>206</v>
      </c>
      <c r="F61" s="956"/>
      <c r="G61" s="956"/>
      <c r="H61" s="956"/>
      <c r="I61" s="956"/>
      <c r="J61" s="956"/>
      <c r="K61" s="956"/>
      <c r="L61" s="956"/>
      <c r="M61" s="956"/>
      <c r="N61" s="956"/>
      <c r="O61" s="957"/>
      <c r="P61" s="730"/>
    </row>
    <row r="62" spans="1:16" s="1" customFormat="1" ht="26.25" customHeight="1">
      <c r="A62" s="48"/>
      <c r="B62" s="62"/>
      <c r="C62" s="235"/>
      <c r="D62" s="907" t="s">
        <v>207</v>
      </c>
      <c r="E62" s="876"/>
      <c r="F62" s="876"/>
      <c r="G62" s="876"/>
      <c r="H62" s="876"/>
      <c r="I62" s="876"/>
      <c r="J62" s="876"/>
      <c r="K62" s="876"/>
      <c r="L62" s="876"/>
      <c r="M62" s="876"/>
      <c r="N62" s="876"/>
      <c r="O62" s="958"/>
      <c r="P62" s="455"/>
    </row>
    <row r="63" spans="1:16" s="1" customFormat="1" ht="159" customHeight="1">
      <c r="A63" s="48"/>
      <c r="B63" s="62"/>
      <c r="C63" s="233" t="s">
        <v>19</v>
      </c>
      <c r="D63" s="891" t="s">
        <v>208</v>
      </c>
      <c r="E63" s="187" t="s">
        <v>132</v>
      </c>
      <c r="F63" s="568" t="s">
        <v>180</v>
      </c>
      <c r="G63" s="710" t="s">
        <v>209</v>
      </c>
      <c r="H63" s="709" t="s">
        <v>210</v>
      </c>
      <c r="I63" s="377"/>
      <c r="J63" s="18" t="s">
        <v>34</v>
      </c>
      <c r="K63" s="18" t="s">
        <v>34</v>
      </c>
      <c r="L63" s="18" t="s">
        <v>34</v>
      </c>
      <c r="M63" s="18">
        <v>3</v>
      </c>
      <c r="N63" s="51">
        <v>4</v>
      </c>
      <c r="O63" s="442">
        <v>5</v>
      </c>
      <c r="P63" s="237" t="s">
        <v>180</v>
      </c>
    </row>
    <row r="64" spans="1:16" s="550" customFormat="1" ht="153" customHeight="1">
      <c r="A64" s="48"/>
      <c r="B64" s="62"/>
      <c r="C64" s="233" t="s">
        <v>19</v>
      </c>
      <c r="D64" s="892"/>
      <c r="E64" s="189" t="s">
        <v>211</v>
      </c>
      <c r="F64" s="570" t="s">
        <v>212</v>
      </c>
      <c r="G64" s="571" t="s">
        <v>213</v>
      </c>
      <c r="H64" s="439"/>
      <c r="I64" s="605" t="s">
        <v>214</v>
      </c>
      <c r="J64" s="18" t="s">
        <v>34</v>
      </c>
      <c r="K64" s="18">
        <v>80</v>
      </c>
      <c r="L64" s="18">
        <v>85</v>
      </c>
      <c r="M64" s="18">
        <v>90</v>
      </c>
      <c r="N64" s="51">
        <v>92</v>
      </c>
      <c r="O64" s="442">
        <v>97</v>
      </c>
      <c r="P64" s="237" t="s">
        <v>137</v>
      </c>
    </row>
    <row r="65" spans="1:16" s="1" customFormat="1" ht="26.25" customHeight="1">
      <c r="A65" s="48"/>
      <c r="B65" s="62"/>
      <c r="C65" s="235"/>
      <c r="D65" s="907" t="s">
        <v>215</v>
      </c>
      <c r="E65" s="876"/>
      <c r="F65" s="876"/>
      <c r="G65" s="876"/>
      <c r="H65" s="876"/>
      <c r="I65" s="876"/>
      <c r="J65" s="876"/>
      <c r="K65" s="876"/>
      <c r="L65" s="876"/>
      <c r="M65" s="876"/>
      <c r="N65" s="876"/>
      <c r="O65" s="955"/>
      <c r="P65" s="455"/>
    </row>
    <row r="66" spans="1:16" s="488" customFormat="1" ht="105" customHeight="1">
      <c r="A66" s="394" t="s">
        <v>216</v>
      </c>
      <c r="B66" s="173" t="s">
        <v>217</v>
      </c>
      <c r="C66" s="437" t="s">
        <v>19</v>
      </c>
      <c r="D66" s="891" t="s">
        <v>218</v>
      </c>
      <c r="E66" s="882" t="s">
        <v>132</v>
      </c>
      <c r="F66" s="882" t="s">
        <v>180</v>
      </c>
      <c r="G66" s="882" t="s">
        <v>219</v>
      </c>
      <c r="H66" s="574" t="s">
        <v>220</v>
      </c>
      <c r="I66" s="595"/>
      <c r="J66" s="244" t="s">
        <v>34</v>
      </c>
      <c r="K66" s="244" t="s">
        <v>34</v>
      </c>
      <c r="L66" s="244">
        <v>8</v>
      </c>
      <c r="M66" s="244">
        <v>8</v>
      </c>
      <c r="N66" s="271">
        <v>9</v>
      </c>
      <c r="O66" s="442">
        <v>10</v>
      </c>
      <c r="P66" s="596" t="s">
        <v>180</v>
      </c>
    </row>
    <row r="67" spans="1:16" s="488" customFormat="1" ht="78.75">
      <c r="A67" s="394" t="s">
        <v>216</v>
      </c>
      <c r="B67" s="173" t="s">
        <v>217</v>
      </c>
      <c r="C67" s="437" t="s">
        <v>19</v>
      </c>
      <c r="D67" s="892"/>
      <c r="E67" s="883"/>
      <c r="F67" s="883"/>
      <c r="G67" s="883"/>
      <c r="H67" s="573"/>
      <c r="I67" s="750" t="s">
        <v>221</v>
      </c>
      <c r="J67" s="18">
        <v>10</v>
      </c>
      <c r="K67" s="18" t="s">
        <v>222</v>
      </c>
      <c r="L67" s="18" t="s">
        <v>223</v>
      </c>
      <c r="M67" s="18" t="s">
        <v>224</v>
      </c>
      <c r="N67" s="51" t="s">
        <v>225</v>
      </c>
      <c r="O67" s="442" t="s">
        <v>226</v>
      </c>
      <c r="P67" s="237" t="s">
        <v>180</v>
      </c>
    </row>
    <row r="68" spans="1:16" s="488" customFormat="1" ht="105">
      <c r="A68" s="394" t="s">
        <v>216</v>
      </c>
      <c r="B68" s="173" t="s">
        <v>217</v>
      </c>
      <c r="C68" s="437" t="s">
        <v>19</v>
      </c>
      <c r="D68" s="893"/>
      <c r="E68" s="884"/>
      <c r="F68" s="884"/>
      <c r="G68" s="884"/>
      <c r="H68" s="439"/>
      <c r="I68" s="605" t="s">
        <v>227</v>
      </c>
      <c r="J68" s="598">
        <v>1</v>
      </c>
      <c r="K68" s="598">
        <v>1</v>
      </c>
      <c r="L68" s="598">
        <v>1.5</v>
      </c>
      <c r="M68" s="598">
        <v>1.5</v>
      </c>
      <c r="N68" s="599">
        <v>2</v>
      </c>
      <c r="O68" s="442">
        <v>2</v>
      </c>
      <c r="P68" s="600" t="s">
        <v>180</v>
      </c>
    </row>
    <row r="69" spans="1:16" s="1" customFormat="1" ht="210">
      <c r="A69" s="400" t="s">
        <v>178</v>
      </c>
      <c r="B69" s="411" t="s">
        <v>169</v>
      </c>
      <c r="C69" s="233" t="s">
        <v>19</v>
      </c>
      <c r="D69" s="28" t="s">
        <v>228</v>
      </c>
      <c r="E69" s="19" t="s">
        <v>229</v>
      </c>
      <c r="F69" s="19" t="s">
        <v>180</v>
      </c>
      <c r="G69" s="731" t="s">
        <v>173</v>
      </c>
      <c r="H69" s="574" t="s">
        <v>230</v>
      </c>
      <c r="I69" s="601"/>
      <c r="J69" s="244" t="s">
        <v>34</v>
      </c>
      <c r="K69" s="244" t="s">
        <v>34</v>
      </c>
      <c r="L69" s="602">
        <v>1</v>
      </c>
      <c r="M69" s="602">
        <v>1</v>
      </c>
      <c r="N69" s="603">
        <v>2</v>
      </c>
      <c r="O69" s="442">
        <v>3</v>
      </c>
      <c r="P69" s="604" t="s">
        <v>180</v>
      </c>
    </row>
    <row r="70" spans="1:16" s="1" customFormat="1" ht="26.25" customHeight="1">
      <c r="A70" s="48"/>
      <c r="B70" s="62"/>
      <c r="C70" s="235"/>
      <c r="D70" s="566" t="s">
        <v>3</v>
      </c>
      <c r="E70" s="956" t="s">
        <v>231</v>
      </c>
      <c r="F70" s="956"/>
      <c r="G70" s="956"/>
      <c r="H70" s="956"/>
      <c r="I70" s="956"/>
      <c r="J70" s="956"/>
      <c r="K70" s="956"/>
      <c r="L70" s="956"/>
      <c r="M70" s="956"/>
      <c r="N70" s="956"/>
      <c r="O70" s="957"/>
      <c r="P70" s="730"/>
    </row>
    <row r="71" spans="1:16" s="1" customFormat="1" ht="26.25" customHeight="1">
      <c r="A71" s="48"/>
      <c r="B71" s="62"/>
      <c r="C71" s="235"/>
      <c r="D71" s="907" t="s">
        <v>232</v>
      </c>
      <c r="E71" s="876"/>
      <c r="F71" s="876"/>
      <c r="G71" s="876"/>
      <c r="H71" s="876"/>
      <c r="I71" s="876"/>
      <c r="J71" s="876"/>
      <c r="K71" s="876"/>
      <c r="L71" s="876"/>
      <c r="M71" s="876"/>
      <c r="N71" s="876"/>
      <c r="O71" s="877"/>
      <c r="P71" s="455"/>
    </row>
    <row r="72" spans="1:16" s="1" customFormat="1" ht="183.75">
      <c r="A72" s="48" t="s">
        <v>233</v>
      </c>
      <c r="B72" s="62"/>
      <c r="C72" s="233" t="s">
        <v>19</v>
      </c>
      <c r="D72" s="894" t="s">
        <v>234</v>
      </c>
      <c r="E72" s="188" t="s">
        <v>235</v>
      </c>
      <c r="F72" s="21" t="s">
        <v>236</v>
      </c>
      <c r="G72" s="21" t="s">
        <v>237</v>
      </c>
      <c r="H72" s="574" t="s">
        <v>238</v>
      </c>
      <c r="I72" s="380"/>
      <c r="J72" s="18">
        <v>0</v>
      </c>
      <c r="K72" s="18">
        <v>1</v>
      </c>
      <c r="L72" s="18">
        <v>1</v>
      </c>
      <c r="M72" s="18">
        <v>3</v>
      </c>
      <c r="N72" s="18">
        <v>4</v>
      </c>
      <c r="O72" s="456">
        <v>5</v>
      </c>
      <c r="P72" s="237" t="s">
        <v>239</v>
      </c>
    </row>
    <row r="73" spans="1:16" s="1" customFormat="1" ht="183.75">
      <c r="A73" s="48" t="s">
        <v>233</v>
      </c>
      <c r="B73" s="62"/>
      <c r="C73" s="233" t="s">
        <v>19</v>
      </c>
      <c r="D73" s="894"/>
      <c r="E73" s="188" t="s">
        <v>240</v>
      </c>
      <c r="F73" s="21" t="s">
        <v>241</v>
      </c>
      <c r="G73" s="21" t="s">
        <v>242</v>
      </c>
      <c r="H73" s="439"/>
      <c r="I73" s="605" t="s">
        <v>243</v>
      </c>
      <c r="J73" s="18" t="s">
        <v>34</v>
      </c>
      <c r="K73" s="18" t="s">
        <v>34</v>
      </c>
      <c r="L73" s="18" t="s">
        <v>34</v>
      </c>
      <c r="M73" s="18">
        <v>5</v>
      </c>
      <c r="N73" s="18">
        <v>7</v>
      </c>
      <c r="O73" s="456">
        <v>10</v>
      </c>
      <c r="P73" s="237" t="s">
        <v>244</v>
      </c>
    </row>
    <row r="74" spans="1:16" s="549" customFormat="1" ht="210">
      <c r="A74" s="575"/>
      <c r="B74" s="609" t="s">
        <v>245</v>
      </c>
      <c r="C74" s="610" t="s">
        <v>19</v>
      </c>
      <c r="D74" s="26" t="s">
        <v>246</v>
      </c>
      <c r="E74" s="15" t="s">
        <v>247</v>
      </c>
      <c r="F74" s="19" t="s">
        <v>248</v>
      </c>
      <c r="G74" s="19" t="s">
        <v>249</v>
      </c>
      <c r="H74" s="574" t="s">
        <v>250</v>
      </c>
      <c r="I74" s="601"/>
      <c r="J74" s="18">
        <v>5</v>
      </c>
      <c r="K74" s="18">
        <v>10</v>
      </c>
      <c r="L74" s="18">
        <v>15</v>
      </c>
      <c r="M74" s="18">
        <v>15</v>
      </c>
      <c r="N74" s="51">
        <v>20</v>
      </c>
      <c r="O74" s="442">
        <v>25</v>
      </c>
      <c r="P74" s="604" t="s">
        <v>195</v>
      </c>
    </row>
    <row r="75" spans="1:16" s="1" customFormat="1" ht="144" customHeight="1">
      <c r="A75" s="523"/>
      <c r="B75" s="524" t="s">
        <v>245</v>
      </c>
      <c r="C75" s="525" t="s">
        <v>19</v>
      </c>
      <c r="D75" s="579" t="s">
        <v>251</v>
      </c>
      <c r="E75" s="470" t="s">
        <v>252</v>
      </c>
      <c r="F75" s="470" t="s">
        <v>180</v>
      </c>
      <c r="G75" s="470" t="s">
        <v>253</v>
      </c>
      <c r="H75" s="580" t="s">
        <v>254</v>
      </c>
      <c r="I75" s="606"/>
      <c r="J75" s="384">
        <v>0</v>
      </c>
      <c r="K75" s="384">
        <v>12</v>
      </c>
      <c r="L75" s="384">
        <v>25</v>
      </c>
      <c r="M75" s="384">
        <v>30</v>
      </c>
      <c r="N75" s="384">
        <v>35</v>
      </c>
      <c r="O75" s="607">
        <v>40</v>
      </c>
      <c r="P75" s="608" t="s">
        <v>180</v>
      </c>
    </row>
    <row r="76" spans="1:16" s="1" customFormat="1" ht="26.25" customHeight="1">
      <c r="A76" s="817" t="s">
        <v>0</v>
      </c>
      <c r="B76" s="818"/>
      <c r="C76" s="819"/>
      <c r="D76" s="902" t="s">
        <v>255</v>
      </c>
      <c r="E76" s="869" t="s">
        <v>256</v>
      </c>
      <c r="F76" s="870"/>
      <c r="G76" s="870"/>
      <c r="H76" s="870"/>
      <c r="I76" s="870"/>
      <c r="J76" s="870"/>
      <c r="K76" s="870"/>
      <c r="L76" s="870"/>
      <c r="M76" s="870"/>
      <c r="N76" s="870"/>
      <c r="O76" s="870"/>
      <c r="P76" s="871"/>
    </row>
    <row r="77" spans="1:16" s="1" customFormat="1">
      <c r="A77" s="820"/>
      <c r="B77" s="809"/>
      <c r="C77" s="821"/>
      <c r="D77" s="903"/>
      <c r="E77" s="872"/>
      <c r="F77" s="873"/>
      <c r="G77" s="873"/>
      <c r="H77" s="873"/>
      <c r="I77" s="873"/>
      <c r="J77" s="873"/>
      <c r="K77" s="873"/>
      <c r="L77" s="873"/>
      <c r="M77" s="873"/>
      <c r="N77" s="873"/>
      <c r="O77" s="873"/>
      <c r="P77" s="874"/>
    </row>
    <row r="78" spans="1:16" s="1" customFormat="1" ht="26.25" customHeight="1">
      <c r="A78" s="820"/>
      <c r="B78" s="809"/>
      <c r="C78" s="821"/>
      <c r="D78" s="732" t="s">
        <v>3</v>
      </c>
      <c r="E78" s="908" t="s">
        <v>257</v>
      </c>
      <c r="F78" s="909"/>
      <c r="G78" s="909"/>
      <c r="H78" s="909"/>
      <c r="I78" s="909"/>
      <c r="J78" s="909"/>
      <c r="K78" s="909"/>
      <c r="L78" s="909"/>
      <c r="M78" s="909"/>
      <c r="N78" s="909"/>
      <c r="O78" s="909"/>
      <c r="P78" s="910"/>
    </row>
    <row r="79" spans="1:16" s="1" customFormat="1" ht="26.25" customHeight="1">
      <c r="A79" s="851" t="s">
        <v>5</v>
      </c>
      <c r="B79" s="920" t="s">
        <v>6</v>
      </c>
      <c r="C79" s="844" t="s">
        <v>7</v>
      </c>
      <c r="D79" s="903" t="s">
        <v>8</v>
      </c>
      <c r="E79" s="860" t="s">
        <v>9</v>
      </c>
      <c r="F79" s="860" t="s">
        <v>166</v>
      </c>
      <c r="G79" s="860" t="s">
        <v>11</v>
      </c>
      <c r="H79" s="860" t="s">
        <v>12</v>
      </c>
      <c r="I79" s="860" t="s">
        <v>13</v>
      </c>
      <c r="J79" s="860" t="s">
        <v>14</v>
      </c>
      <c r="K79" s="860"/>
      <c r="L79" s="860"/>
      <c r="M79" s="860"/>
      <c r="N79" s="860"/>
      <c r="O79" s="941"/>
      <c r="P79" s="949" t="s">
        <v>15</v>
      </c>
    </row>
    <row r="80" spans="1:16" s="1" customFormat="1">
      <c r="A80" s="851"/>
      <c r="B80" s="920"/>
      <c r="C80" s="844"/>
      <c r="D80" s="903"/>
      <c r="E80" s="860"/>
      <c r="F80" s="860"/>
      <c r="G80" s="860"/>
      <c r="H80" s="860"/>
      <c r="I80" s="860"/>
      <c r="J80" s="733">
        <v>65</v>
      </c>
      <c r="K80" s="733">
        <v>66</v>
      </c>
      <c r="L80" s="733">
        <v>67</v>
      </c>
      <c r="M80" s="733">
        <v>68</v>
      </c>
      <c r="N80" s="733">
        <v>69</v>
      </c>
      <c r="O80" s="751">
        <v>70</v>
      </c>
      <c r="P80" s="950"/>
    </row>
    <row r="81" spans="1:16" s="1" customFormat="1" ht="26.25" customHeight="1">
      <c r="A81" s="58"/>
      <c r="B81" s="49"/>
      <c r="C81" s="50"/>
      <c r="D81" s="907" t="s">
        <v>258</v>
      </c>
      <c r="E81" s="876"/>
      <c r="F81" s="876"/>
      <c r="G81" s="876"/>
      <c r="H81" s="876"/>
      <c r="I81" s="876"/>
      <c r="J81" s="876"/>
      <c r="K81" s="876"/>
      <c r="L81" s="876"/>
      <c r="M81" s="876"/>
      <c r="N81" s="876"/>
      <c r="O81" s="877"/>
      <c r="P81" s="270"/>
    </row>
    <row r="82" spans="1:16" s="1" customFormat="1" ht="201.75" customHeight="1">
      <c r="A82" s="48" t="s">
        <v>259</v>
      </c>
      <c r="B82" s="62" t="s">
        <v>260</v>
      </c>
      <c r="C82" s="233" t="s">
        <v>19</v>
      </c>
      <c r="D82" s="26" t="s">
        <v>261</v>
      </c>
      <c r="E82" s="15" t="s">
        <v>262</v>
      </c>
      <c r="F82" s="15" t="s">
        <v>263</v>
      </c>
      <c r="G82" s="21" t="s">
        <v>264</v>
      </c>
      <c r="H82" s="734" t="s">
        <v>265</v>
      </c>
      <c r="I82" s="377"/>
      <c r="J82" s="18" t="s">
        <v>34</v>
      </c>
      <c r="K82" s="18" t="s">
        <v>34</v>
      </c>
      <c r="L82" s="18">
        <v>1</v>
      </c>
      <c r="M82" s="18" t="s">
        <v>266</v>
      </c>
      <c r="N82" s="18" t="s">
        <v>266</v>
      </c>
      <c r="O82" s="51" t="s">
        <v>266</v>
      </c>
      <c r="P82" s="533" t="s">
        <v>263</v>
      </c>
    </row>
    <row r="83" spans="1:16" s="1" customFormat="1" ht="131.25">
      <c r="A83" s="48" t="s">
        <v>259</v>
      </c>
      <c r="B83" s="62" t="s">
        <v>267</v>
      </c>
      <c r="C83" s="233" t="s">
        <v>19</v>
      </c>
      <c r="D83" s="36" t="s">
        <v>268</v>
      </c>
      <c r="E83" s="21" t="s">
        <v>262</v>
      </c>
      <c r="F83" s="21" t="s">
        <v>263</v>
      </c>
      <c r="G83" s="21" t="s">
        <v>269</v>
      </c>
      <c r="H83" s="497"/>
      <c r="I83" s="672" t="s">
        <v>270</v>
      </c>
      <c r="J83" s="18" t="s">
        <v>34</v>
      </c>
      <c r="K83" s="18">
        <v>1</v>
      </c>
      <c r="L83" s="18">
        <v>1</v>
      </c>
      <c r="M83" s="18">
        <v>1</v>
      </c>
      <c r="N83" s="18">
        <v>1</v>
      </c>
      <c r="O83" s="18">
        <v>1</v>
      </c>
      <c r="P83" s="533" t="s">
        <v>263</v>
      </c>
    </row>
    <row r="84" spans="1:16" s="1" customFormat="1" ht="26.25" customHeight="1">
      <c r="A84" s="58"/>
      <c r="B84" s="62"/>
      <c r="C84" s="50"/>
      <c r="D84" s="732" t="s">
        <v>3</v>
      </c>
      <c r="E84" s="908" t="s">
        <v>271</v>
      </c>
      <c r="F84" s="909"/>
      <c r="G84" s="909"/>
      <c r="H84" s="909"/>
      <c r="I84" s="909"/>
      <c r="J84" s="909"/>
      <c r="K84" s="909"/>
      <c r="L84" s="909"/>
      <c r="M84" s="909"/>
      <c r="N84" s="909"/>
      <c r="O84" s="909"/>
      <c r="P84" s="910"/>
    </row>
    <row r="85" spans="1:16" s="1" customFormat="1" ht="26.25" customHeight="1">
      <c r="A85" s="58"/>
      <c r="B85" s="62"/>
      <c r="C85" s="50"/>
      <c r="D85" s="911" t="s">
        <v>272</v>
      </c>
      <c r="E85" s="912"/>
      <c r="F85" s="912"/>
      <c r="G85" s="912"/>
      <c r="H85" s="912"/>
      <c r="I85" s="912"/>
      <c r="J85" s="912"/>
      <c r="K85" s="912"/>
      <c r="L85" s="912"/>
      <c r="M85" s="912"/>
      <c r="N85" s="912"/>
      <c r="O85" s="912"/>
      <c r="P85" s="270"/>
    </row>
    <row r="86" spans="1:16" s="1" customFormat="1" ht="157.5">
      <c r="A86" s="48" t="s">
        <v>259</v>
      </c>
      <c r="B86" s="62" t="s">
        <v>273</v>
      </c>
      <c r="C86" s="233" t="s">
        <v>19</v>
      </c>
      <c r="D86" s="28" t="s">
        <v>274</v>
      </c>
      <c r="E86" s="19" t="s">
        <v>275</v>
      </c>
      <c r="F86" s="19" t="s">
        <v>263</v>
      </c>
      <c r="G86" s="19" t="s">
        <v>276</v>
      </c>
      <c r="H86" s="735" t="s">
        <v>277</v>
      </c>
      <c r="I86" s="752"/>
      <c r="J86" s="448" t="s">
        <v>136</v>
      </c>
      <c r="K86" s="448" t="s">
        <v>136</v>
      </c>
      <c r="L86" s="448" t="s">
        <v>136</v>
      </c>
      <c r="M86" s="448">
        <v>1</v>
      </c>
      <c r="N86" s="448">
        <v>2</v>
      </c>
      <c r="O86" s="448">
        <v>3</v>
      </c>
      <c r="P86" s="533" t="s">
        <v>263</v>
      </c>
    </row>
    <row r="87" spans="1:16" s="1" customFormat="1" ht="26.25" customHeight="1">
      <c r="A87" s="58"/>
      <c r="B87" s="49"/>
      <c r="C87" s="50"/>
      <c r="D87" s="732" t="s">
        <v>3</v>
      </c>
      <c r="E87" s="913" t="s">
        <v>278</v>
      </c>
      <c r="F87" s="914"/>
      <c r="G87" s="914"/>
      <c r="H87" s="914"/>
      <c r="I87" s="914"/>
      <c r="J87" s="914"/>
      <c r="K87" s="914"/>
      <c r="L87" s="914"/>
      <c r="M87" s="914"/>
      <c r="N87" s="914"/>
      <c r="O87" s="914"/>
      <c r="P87" s="502"/>
    </row>
    <row r="88" spans="1:16" s="1" customFormat="1" ht="26.25" customHeight="1">
      <c r="A88" s="58"/>
      <c r="B88" s="49"/>
      <c r="C88" s="50"/>
      <c r="D88" s="880" t="s">
        <v>279</v>
      </c>
      <c r="E88" s="881"/>
      <c r="F88" s="881"/>
      <c r="G88" s="881"/>
      <c r="H88" s="881"/>
      <c r="I88" s="881"/>
      <c r="J88" s="881"/>
      <c r="K88" s="881"/>
      <c r="L88" s="881"/>
      <c r="M88" s="881"/>
      <c r="N88" s="881"/>
      <c r="O88" s="881"/>
      <c r="P88" s="270"/>
    </row>
    <row r="89" spans="1:16" s="1" customFormat="1" ht="183.75">
      <c r="A89" s="504" t="s">
        <v>259</v>
      </c>
      <c r="B89" s="505" t="s">
        <v>280</v>
      </c>
      <c r="C89" s="506" t="s">
        <v>19</v>
      </c>
      <c r="D89" s="507" t="s">
        <v>281</v>
      </c>
      <c r="E89" s="427" t="s">
        <v>262</v>
      </c>
      <c r="F89" s="427" t="s">
        <v>263</v>
      </c>
      <c r="G89" s="427" t="s">
        <v>282</v>
      </c>
      <c r="H89" s="734" t="s">
        <v>283</v>
      </c>
      <c r="I89" s="377"/>
      <c r="J89" s="538" t="s">
        <v>34</v>
      </c>
      <c r="K89" s="538">
        <v>2</v>
      </c>
      <c r="L89" s="538">
        <v>4</v>
      </c>
      <c r="M89" s="538">
        <v>6</v>
      </c>
      <c r="N89" s="538">
        <v>8</v>
      </c>
      <c r="O89" s="539">
        <v>10</v>
      </c>
      <c r="P89" s="533" t="s">
        <v>263</v>
      </c>
    </row>
    <row r="90" spans="1:16" s="1" customFormat="1" ht="190.5" customHeight="1">
      <c r="A90" s="510" t="s">
        <v>259</v>
      </c>
      <c r="B90" s="511" t="s">
        <v>284</v>
      </c>
      <c r="C90" s="512" t="s">
        <v>19</v>
      </c>
      <c r="D90" s="513"/>
      <c r="E90" s="514"/>
      <c r="F90" s="514"/>
      <c r="G90" s="736" t="s">
        <v>285</v>
      </c>
      <c r="H90" s="737" t="s">
        <v>286</v>
      </c>
      <c r="I90" s="377"/>
      <c r="J90" s="538" t="s">
        <v>34</v>
      </c>
      <c r="K90" s="538" t="s">
        <v>34</v>
      </c>
      <c r="L90" s="598">
        <v>1</v>
      </c>
      <c r="M90" s="598">
        <v>1</v>
      </c>
      <c r="N90" s="598">
        <v>1</v>
      </c>
      <c r="O90" s="598">
        <v>1</v>
      </c>
      <c r="P90" s="533" t="s">
        <v>263</v>
      </c>
    </row>
    <row r="91" spans="1:16" s="1" customFormat="1" ht="131.25">
      <c r="A91" s="517" t="s">
        <v>287</v>
      </c>
      <c r="B91" s="518" t="s">
        <v>284</v>
      </c>
      <c r="C91" s="512" t="s">
        <v>19</v>
      </c>
      <c r="D91" s="519"/>
      <c r="E91" s="520"/>
      <c r="F91" s="520"/>
      <c r="G91" s="520" t="s">
        <v>288</v>
      </c>
      <c r="H91" s="738"/>
      <c r="I91" s="672" t="s">
        <v>289</v>
      </c>
      <c r="J91" s="598">
        <v>1</v>
      </c>
      <c r="K91" s="598">
        <v>1</v>
      </c>
      <c r="L91" s="598">
        <v>1</v>
      </c>
      <c r="M91" s="598">
        <v>1</v>
      </c>
      <c r="N91" s="598">
        <v>1</v>
      </c>
      <c r="O91" s="598">
        <v>1</v>
      </c>
      <c r="P91" s="533" t="s">
        <v>263</v>
      </c>
    </row>
    <row r="92" spans="1:16" s="1" customFormat="1" ht="131.25">
      <c r="A92" s="523" t="s">
        <v>259</v>
      </c>
      <c r="B92" s="524" t="s">
        <v>290</v>
      </c>
      <c r="C92" s="525" t="s">
        <v>19</v>
      </c>
      <c r="D92" s="194"/>
      <c r="E92" s="195"/>
      <c r="F92" s="247"/>
      <c r="G92" s="195" t="s">
        <v>291</v>
      </c>
      <c r="H92" s="739"/>
      <c r="I92" s="753" t="s">
        <v>292</v>
      </c>
      <c r="J92" s="384" t="s">
        <v>136</v>
      </c>
      <c r="K92" s="384" t="s">
        <v>136</v>
      </c>
      <c r="L92" s="384" t="s">
        <v>136</v>
      </c>
      <c r="M92" s="384">
        <v>1</v>
      </c>
      <c r="N92" s="384">
        <v>1</v>
      </c>
      <c r="O92" s="385">
        <v>1</v>
      </c>
      <c r="P92" s="754" t="s">
        <v>263</v>
      </c>
    </row>
    <row r="93" spans="1:16" s="1" customFormat="1" ht="26.25" customHeight="1">
      <c r="A93" s="830" t="s">
        <v>0</v>
      </c>
      <c r="B93" s="806"/>
      <c r="C93" s="807"/>
      <c r="D93" s="904" t="s">
        <v>293</v>
      </c>
      <c r="E93" s="831" t="s">
        <v>294</v>
      </c>
      <c r="F93" s="832"/>
      <c r="G93" s="832"/>
      <c r="H93" s="832"/>
      <c r="I93" s="832"/>
      <c r="J93" s="832"/>
      <c r="K93" s="832"/>
      <c r="L93" s="832"/>
      <c r="M93" s="832"/>
      <c r="N93" s="832"/>
      <c r="O93" s="832"/>
      <c r="P93" s="833"/>
    </row>
    <row r="94" spans="1:16" s="1" customFormat="1">
      <c r="A94" s="820"/>
      <c r="B94" s="809"/>
      <c r="C94" s="810"/>
      <c r="D94" s="905"/>
      <c r="E94" s="834"/>
      <c r="F94" s="835"/>
      <c r="G94" s="835"/>
      <c r="H94" s="835"/>
      <c r="I94" s="835"/>
      <c r="J94" s="835"/>
      <c r="K94" s="835"/>
      <c r="L94" s="835"/>
      <c r="M94" s="835"/>
      <c r="N94" s="835"/>
      <c r="O94" s="835"/>
      <c r="P94" s="836"/>
    </row>
    <row r="95" spans="1:16" s="1" customFormat="1" ht="26.25" customHeight="1">
      <c r="A95" s="820"/>
      <c r="B95" s="809"/>
      <c r="C95" s="810"/>
      <c r="D95" s="740" t="s">
        <v>3</v>
      </c>
      <c r="E95" s="853" t="s">
        <v>295</v>
      </c>
      <c r="F95" s="854"/>
      <c r="G95" s="854"/>
      <c r="H95" s="854"/>
      <c r="I95" s="854"/>
      <c r="J95" s="854"/>
      <c r="K95" s="854"/>
      <c r="L95" s="854"/>
      <c r="M95" s="854"/>
      <c r="N95" s="854"/>
      <c r="O95" s="854"/>
      <c r="P95" s="855"/>
    </row>
    <row r="96" spans="1:16" s="1" customFormat="1" ht="26.25" customHeight="1">
      <c r="A96" s="851" t="s">
        <v>5</v>
      </c>
      <c r="B96" s="809" t="s">
        <v>6</v>
      </c>
      <c r="C96" s="845" t="s">
        <v>7</v>
      </c>
      <c r="D96" s="905" t="s">
        <v>8</v>
      </c>
      <c r="E96" s="856" t="s">
        <v>9</v>
      </c>
      <c r="F96" s="856" t="s">
        <v>166</v>
      </c>
      <c r="G96" s="856" t="s">
        <v>11</v>
      </c>
      <c r="H96" s="856" t="s">
        <v>12</v>
      </c>
      <c r="I96" s="947" t="s">
        <v>13</v>
      </c>
      <c r="J96" s="856" t="s">
        <v>296</v>
      </c>
      <c r="K96" s="856"/>
      <c r="L96" s="856"/>
      <c r="M96" s="856"/>
      <c r="N96" s="856"/>
      <c r="O96" s="853"/>
      <c r="P96" s="951" t="s">
        <v>15</v>
      </c>
    </row>
    <row r="97" spans="1:16" s="1" customFormat="1">
      <c r="A97" s="852"/>
      <c r="B97" s="919"/>
      <c r="C97" s="846"/>
      <c r="D97" s="906"/>
      <c r="E97" s="861"/>
      <c r="F97" s="861"/>
      <c r="G97" s="861"/>
      <c r="H97" s="861"/>
      <c r="I97" s="948"/>
      <c r="J97" s="741">
        <v>65</v>
      </c>
      <c r="K97" s="741">
        <v>66</v>
      </c>
      <c r="L97" s="741">
        <v>67</v>
      </c>
      <c r="M97" s="741">
        <v>68</v>
      </c>
      <c r="N97" s="741">
        <v>69</v>
      </c>
      <c r="O97" s="755">
        <v>70</v>
      </c>
      <c r="P97" s="952"/>
    </row>
    <row r="98" spans="1:16" s="1" customFormat="1" ht="26.25" customHeight="1">
      <c r="A98" s="42"/>
      <c r="B98" s="259"/>
      <c r="C98" s="44"/>
      <c r="D98" s="857" t="s">
        <v>297</v>
      </c>
      <c r="E98" s="858"/>
      <c r="F98" s="858"/>
      <c r="G98" s="858"/>
      <c r="H98" s="858"/>
      <c r="I98" s="858"/>
      <c r="J98" s="858"/>
      <c r="K98" s="858"/>
      <c r="L98" s="858"/>
      <c r="M98" s="858"/>
      <c r="N98" s="858"/>
      <c r="O98" s="859"/>
      <c r="P98" s="756"/>
    </row>
    <row r="99" spans="1:16" s="1" customFormat="1" ht="183.75" customHeight="1">
      <c r="A99" s="394" t="s">
        <v>298</v>
      </c>
      <c r="B99" s="173" t="s">
        <v>299</v>
      </c>
      <c r="C99" s="395" t="s">
        <v>19</v>
      </c>
      <c r="D99" s="891" t="s">
        <v>300</v>
      </c>
      <c r="E99" s="396" t="s">
        <v>301</v>
      </c>
      <c r="F99" s="187" t="s">
        <v>143</v>
      </c>
      <c r="G99" s="396" t="s">
        <v>302</v>
      </c>
      <c r="H99" s="742" t="s">
        <v>303</v>
      </c>
      <c r="I99" s="377"/>
      <c r="J99" s="18" t="s">
        <v>34</v>
      </c>
      <c r="K99" s="18" t="s">
        <v>34</v>
      </c>
      <c r="L99" s="18" t="s">
        <v>34</v>
      </c>
      <c r="M99" s="18">
        <v>50</v>
      </c>
      <c r="N99" s="18">
        <v>75</v>
      </c>
      <c r="O99" s="51">
        <v>100</v>
      </c>
      <c r="P99" s="52" t="s">
        <v>143</v>
      </c>
    </row>
    <row r="100" spans="1:16" s="1" customFormat="1" ht="273.75" customHeight="1">
      <c r="A100" s="394" t="s">
        <v>304</v>
      </c>
      <c r="B100" s="173" t="s">
        <v>299</v>
      </c>
      <c r="C100" s="395" t="s">
        <v>19</v>
      </c>
      <c r="D100" s="892"/>
      <c r="E100" s="396" t="s">
        <v>305</v>
      </c>
      <c r="F100" s="187" t="s">
        <v>306</v>
      </c>
      <c r="G100" s="743" t="s">
        <v>307</v>
      </c>
      <c r="H100" s="742" t="s">
        <v>308</v>
      </c>
      <c r="I100" s="377"/>
      <c r="J100" s="18" t="s">
        <v>34</v>
      </c>
      <c r="K100" s="18" t="s">
        <v>34</v>
      </c>
      <c r="L100" s="18" t="s">
        <v>34</v>
      </c>
      <c r="M100" s="18">
        <v>50</v>
      </c>
      <c r="N100" s="18">
        <v>75</v>
      </c>
      <c r="O100" s="51">
        <v>100</v>
      </c>
      <c r="P100" s="52" t="s">
        <v>309</v>
      </c>
    </row>
    <row r="101" spans="1:16" s="1" customFormat="1" ht="409.5">
      <c r="A101" s="394" t="s">
        <v>298</v>
      </c>
      <c r="B101" s="173" t="s">
        <v>310</v>
      </c>
      <c r="C101" s="395" t="s">
        <v>19</v>
      </c>
      <c r="D101" s="892"/>
      <c r="E101" s="396" t="s">
        <v>301</v>
      </c>
      <c r="F101" s="187" t="s">
        <v>143</v>
      </c>
      <c r="G101" s="399" t="s">
        <v>311</v>
      </c>
      <c r="H101" s="397"/>
      <c r="I101" s="672" t="s">
        <v>312</v>
      </c>
      <c r="J101" s="18" t="s">
        <v>34</v>
      </c>
      <c r="K101" s="18" t="s">
        <v>34</v>
      </c>
      <c r="L101" s="18" t="s">
        <v>34</v>
      </c>
      <c r="M101" s="18">
        <v>2</v>
      </c>
      <c r="N101" s="18">
        <v>3</v>
      </c>
      <c r="O101" s="51">
        <v>5</v>
      </c>
      <c r="P101" s="52" t="s">
        <v>143</v>
      </c>
    </row>
    <row r="102" spans="1:16" s="1" customFormat="1" ht="409.5">
      <c r="A102" s="394" t="s">
        <v>298</v>
      </c>
      <c r="B102" s="173" t="s">
        <v>310</v>
      </c>
      <c r="C102" s="395" t="s">
        <v>19</v>
      </c>
      <c r="D102" s="892"/>
      <c r="E102" s="398" t="s">
        <v>235</v>
      </c>
      <c r="F102" s="21" t="s">
        <v>236</v>
      </c>
      <c r="G102" s="399" t="s">
        <v>313</v>
      </c>
      <c r="H102" s="397"/>
      <c r="I102" s="672" t="s">
        <v>314</v>
      </c>
      <c r="J102" s="18" t="s">
        <v>34</v>
      </c>
      <c r="K102" s="18" t="s">
        <v>34</v>
      </c>
      <c r="L102" s="18" t="s">
        <v>34</v>
      </c>
      <c r="M102" s="18">
        <v>2</v>
      </c>
      <c r="N102" s="18">
        <v>3</v>
      </c>
      <c r="O102" s="51">
        <v>5</v>
      </c>
      <c r="P102" s="52" t="s">
        <v>315</v>
      </c>
    </row>
    <row r="103" spans="1:16" s="1" customFormat="1" ht="131.25">
      <c r="A103" s="394" t="s">
        <v>316</v>
      </c>
      <c r="B103" s="173" t="s">
        <v>310</v>
      </c>
      <c r="C103" s="395" t="s">
        <v>19</v>
      </c>
      <c r="D103" s="892"/>
      <c r="E103" s="396" t="s">
        <v>301</v>
      </c>
      <c r="F103" s="187" t="s">
        <v>143</v>
      </c>
      <c r="G103" s="243"/>
      <c r="H103" s="397"/>
      <c r="I103" s="672" t="s">
        <v>317</v>
      </c>
      <c r="J103" s="18" t="s">
        <v>34</v>
      </c>
      <c r="K103" s="18" t="s">
        <v>34</v>
      </c>
      <c r="L103" s="18" t="s">
        <v>34</v>
      </c>
      <c r="M103" s="18">
        <v>10</v>
      </c>
      <c r="N103" s="18">
        <v>20</v>
      </c>
      <c r="O103" s="51">
        <v>30</v>
      </c>
      <c r="P103" s="52" t="s">
        <v>143</v>
      </c>
    </row>
    <row r="104" spans="1:16" s="1" customFormat="1" ht="183.75">
      <c r="A104" s="394" t="s">
        <v>316</v>
      </c>
      <c r="B104" s="173" t="s">
        <v>310</v>
      </c>
      <c r="C104" s="395" t="s">
        <v>19</v>
      </c>
      <c r="D104" s="893"/>
      <c r="E104" s="398" t="s">
        <v>235</v>
      </c>
      <c r="F104" s="21" t="s">
        <v>236</v>
      </c>
      <c r="G104" s="19"/>
      <c r="H104" s="397"/>
      <c r="I104" s="672" t="s">
        <v>318</v>
      </c>
      <c r="J104" s="18" t="s">
        <v>34</v>
      </c>
      <c r="K104" s="18" t="s">
        <v>34</v>
      </c>
      <c r="L104" s="18" t="s">
        <v>34</v>
      </c>
      <c r="M104" s="18">
        <v>10</v>
      </c>
      <c r="N104" s="18">
        <v>20</v>
      </c>
      <c r="O104" s="51">
        <v>30</v>
      </c>
      <c r="P104" s="52" t="s">
        <v>315</v>
      </c>
    </row>
    <row r="105" spans="1:16" s="1" customFormat="1" ht="26.25" customHeight="1">
      <c r="A105" s="400"/>
      <c r="B105" s="401"/>
      <c r="C105" s="402"/>
      <c r="D105" s="927" t="s">
        <v>319</v>
      </c>
      <c r="E105" s="928"/>
      <c r="F105" s="928"/>
      <c r="G105" s="928"/>
      <c r="H105" s="928"/>
      <c r="I105" s="928"/>
      <c r="J105" s="928"/>
      <c r="K105" s="928"/>
      <c r="L105" s="928"/>
      <c r="M105" s="928"/>
      <c r="N105" s="928"/>
      <c r="O105" s="929"/>
      <c r="P105" s="757"/>
    </row>
    <row r="106" spans="1:16" s="1" customFormat="1" ht="238.5" customHeight="1">
      <c r="A106" s="403" t="s">
        <v>320</v>
      </c>
      <c r="B106" s="404"/>
      <c r="C106" s="405" t="s">
        <v>19</v>
      </c>
      <c r="D106" s="936" t="s">
        <v>321</v>
      </c>
      <c r="E106" s="406" t="s">
        <v>322</v>
      </c>
      <c r="F106" s="406" t="s">
        <v>143</v>
      </c>
      <c r="G106" s="407" t="s">
        <v>323</v>
      </c>
      <c r="H106" s="410" t="s">
        <v>324</v>
      </c>
      <c r="I106" s="441"/>
      <c r="J106" s="442" t="s">
        <v>136</v>
      </c>
      <c r="K106" s="442" t="s">
        <v>136</v>
      </c>
      <c r="L106" s="442" t="s">
        <v>34</v>
      </c>
      <c r="M106" s="442">
        <v>80</v>
      </c>
      <c r="N106" s="442">
        <v>90</v>
      </c>
      <c r="O106" s="443">
        <v>100</v>
      </c>
      <c r="P106" s="444" t="s">
        <v>143</v>
      </c>
    </row>
    <row r="107" spans="1:16" s="1" customFormat="1" ht="157.5">
      <c r="A107" s="403" t="s">
        <v>320</v>
      </c>
      <c r="B107" s="404"/>
      <c r="C107" s="405" t="s">
        <v>19</v>
      </c>
      <c r="D107" s="937"/>
      <c r="E107" s="406"/>
      <c r="F107" s="406"/>
      <c r="G107" s="407"/>
      <c r="H107" s="408"/>
      <c r="I107" s="446" t="s">
        <v>325</v>
      </c>
      <c r="J107" s="442" t="s">
        <v>136</v>
      </c>
      <c r="K107" s="442" t="s">
        <v>136</v>
      </c>
      <c r="L107" s="442" t="s">
        <v>34</v>
      </c>
      <c r="M107" s="442">
        <v>3.5</v>
      </c>
      <c r="N107" s="442">
        <v>3.8</v>
      </c>
      <c r="O107" s="445">
        <v>4</v>
      </c>
      <c r="P107" s="444" t="s">
        <v>143</v>
      </c>
    </row>
    <row r="108" spans="1:16" s="1" customFormat="1" ht="157.5">
      <c r="A108" s="403" t="s">
        <v>320</v>
      </c>
      <c r="B108" s="404"/>
      <c r="C108" s="405" t="s">
        <v>19</v>
      </c>
      <c r="D108" s="937"/>
      <c r="E108" s="406"/>
      <c r="F108" s="406"/>
      <c r="G108" s="407"/>
      <c r="H108" s="408"/>
      <c r="I108" s="446" t="s">
        <v>326</v>
      </c>
      <c r="J108" s="442" t="s">
        <v>136</v>
      </c>
      <c r="K108" s="442" t="s">
        <v>136</v>
      </c>
      <c r="L108" s="442" t="s">
        <v>34</v>
      </c>
      <c r="M108" s="442">
        <v>3.5</v>
      </c>
      <c r="N108" s="442">
        <v>3.8</v>
      </c>
      <c r="O108" s="445">
        <v>4</v>
      </c>
      <c r="P108" s="444" t="s">
        <v>143</v>
      </c>
    </row>
    <row r="109" spans="1:16" s="1" customFormat="1" ht="157.5">
      <c r="A109" s="403" t="s">
        <v>320</v>
      </c>
      <c r="B109" s="404"/>
      <c r="C109" s="405" t="s">
        <v>19</v>
      </c>
      <c r="D109" s="938"/>
      <c r="E109" s="406"/>
      <c r="F109" s="406"/>
      <c r="G109" s="407"/>
      <c r="H109" s="408"/>
      <c r="I109" s="446" t="s">
        <v>327</v>
      </c>
      <c r="J109" s="442" t="s">
        <v>136</v>
      </c>
      <c r="K109" s="442" t="s">
        <v>136</v>
      </c>
      <c r="L109" s="442" t="s">
        <v>34</v>
      </c>
      <c r="M109" s="442">
        <v>3.5</v>
      </c>
      <c r="N109" s="442">
        <v>3.8</v>
      </c>
      <c r="O109" s="445">
        <v>4</v>
      </c>
      <c r="P109" s="444" t="s">
        <v>143</v>
      </c>
    </row>
    <row r="110" spans="1:16" s="1" customFormat="1" ht="279" customHeight="1">
      <c r="A110" s="403" t="s">
        <v>328</v>
      </c>
      <c r="B110" s="404" t="s">
        <v>329</v>
      </c>
      <c r="C110" s="405" t="s">
        <v>19</v>
      </c>
      <c r="D110" s="936" t="s">
        <v>330</v>
      </c>
      <c r="E110" s="406" t="s">
        <v>322</v>
      </c>
      <c r="F110" s="406" t="s">
        <v>143</v>
      </c>
      <c r="G110" s="744" t="s">
        <v>331</v>
      </c>
      <c r="H110" s="410" t="s">
        <v>332</v>
      </c>
      <c r="I110" s="441"/>
      <c r="J110" s="442" t="s">
        <v>136</v>
      </c>
      <c r="K110" s="442" t="s">
        <v>136</v>
      </c>
      <c r="L110" s="442" t="s">
        <v>34</v>
      </c>
      <c r="M110" s="442">
        <v>10</v>
      </c>
      <c r="N110" s="442">
        <v>20</v>
      </c>
      <c r="O110" s="443">
        <v>30</v>
      </c>
      <c r="P110" s="444" t="s">
        <v>143</v>
      </c>
    </row>
    <row r="111" spans="1:16" s="1" customFormat="1" ht="132" customHeight="1">
      <c r="A111" s="403" t="s">
        <v>328</v>
      </c>
      <c r="B111" s="404" t="s">
        <v>329</v>
      </c>
      <c r="C111" s="405" t="s">
        <v>19</v>
      </c>
      <c r="D111" s="937"/>
      <c r="E111" s="406"/>
      <c r="F111" s="406"/>
      <c r="G111" s="407"/>
      <c r="H111" s="408"/>
      <c r="I111" s="446" t="s">
        <v>333</v>
      </c>
      <c r="J111" s="442" t="s">
        <v>136</v>
      </c>
      <c r="K111" s="442" t="s">
        <v>136</v>
      </c>
      <c r="L111" s="442" t="s">
        <v>34</v>
      </c>
      <c r="M111" s="442">
        <v>10</v>
      </c>
      <c r="N111" s="442">
        <v>20</v>
      </c>
      <c r="O111" s="443">
        <v>30</v>
      </c>
      <c r="P111" s="444" t="s">
        <v>143</v>
      </c>
    </row>
    <row r="112" spans="1:16" s="1" customFormat="1" ht="131.25">
      <c r="A112" s="403" t="s">
        <v>320</v>
      </c>
      <c r="B112" s="404" t="s">
        <v>329</v>
      </c>
      <c r="C112" s="405" t="s">
        <v>19</v>
      </c>
      <c r="D112" s="938"/>
      <c r="E112" s="406"/>
      <c r="F112" s="406"/>
      <c r="G112" s="407"/>
      <c r="H112" s="408"/>
      <c r="I112" s="446" t="s">
        <v>334</v>
      </c>
      <c r="J112" s="442" t="s">
        <v>136</v>
      </c>
      <c r="K112" s="442" t="s">
        <v>335</v>
      </c>
      <c r="L112" s="442" t="s">
        <v>34</v>
      </c>
      <c r="M112" s="442">
        <v>3.5</v>
      </c>
      <c r="N112" s="442">
        <v>3.8</v>
      </c>
      <c r="O112" s="445">
        <v>4</v>
      </c>
      <c r="P112" s="444" t="s">
        <v>143</v>
      </c>
    </row>
    <row r="113" spans="1:16" s="1" customFormat="1" ht="26.25" customHeight="1">
      <c r="A113" s="403"/>
      <c r="B113" s="404"/>
      <c r="C113" s="405"/>
      <c r="D113" s="930" t="s">
        <v>336</v>
      </c>
      <c r="E113" s="930"/>
      <c r="F113" s="930"/>
      <c r="G113" s="930"/>
      <c r="H113" s="930"/>
      <c r="I113" s="930"/>
      <c r="J113" s="930"/>
      <c r="K113" s="930"/>
      <c r="L113" s="930"/>
      <c r="M113" s="930"/>
      <c r="N113" s="930"/>
      <c r="O113" s="930"/>
      <c r="P113" s="931"/>
    </row>
    <row r="114" spans="1:16" s="1" customFormat="1" ht="409.5">
      <c r="A114" s="403" t="s">
        <v>337</v>
      </c>
      <c r="B114" s="404" t="s">
        <v>338</v>
      </c>
      <c r="C114" s="405" t="s">
        <v>19</v>
      </c>
      <c r="D114" s="406" t="s">
        <v>339</v>
      </c>
      <c r="E114" s="406" t="s">
        <v>340</v>
      </c>
      <c r="F114" s="406" t="s">
        <v>143</v>
      </c>
      <c r="G114" s="406" t="s">
        <v>341</v>
      </c>
      <c r="H114" s="410" t="s">
        <v>342</v>
      </c>
      <c r="I114" s="441"/>
      <c r="J114" s="442" t="s">
        <v>34</v>
      </c>
      <c r="K114" s="442" t="s">
        <v>34</v>
      </c>
      <c r="L114" s="442" t="s">
        <v>34</v>
      </c>
      <c r="M114" s="442">
        <v>2</v>
      </c>
      <c r="N114" s="442">
        <v>3</v>
      </c>
      <c r="O114" s="442">
        <v>5</v>
      </c>
      <c r="P114" s="444" t="s">
        <v>343</v>
      </c>
    </row>
    <row r="115" spans="1:16" s="1" customFormat="1" ht="276.75" customHeight="1">
      <c r="A115" s="403" t="s">
        <v>337</v>
      </c>
      <c r="B115" s="411" t="s">
        <v>344</v>
      </c>
      <c r="C115" s="405" t="s">
        <v>19</v>
      </c>
      <c r="D115" s="409" t="s">
        <v>345</v>
      </c>
      <c r="E115" s="406" t="s">
        <v>340</v>
      </c>
      <c r="F115" s="412" t="s">
        <v>346</v>
      </c>
      <c r="G115" s="745" t="s">
        <v>347</v>
      </c>
      <c r="H115" s="413" t="s">
        <v>348</v>
      </c>
      <c r="I115" s="447"/>
      <c r="J115" s="448" t="s">
        <v>34</v>
      </c>
      <c r="K115" s="448" t="s">
        <v>34</v>
      </c>
      <c r="L115" s="448" t="s">
        <v>34</v>
      </c>
      <c r="M115" s="448">
        <v>80</v>
      </c>
      <c r="N115" s="448">
        <v>150</v>
      </c>
      <c r="O115" s="448">
        <v>220</v>
      </c>
      <c r="P115" s="449" t="s">
        <v>343</v>
      </c>
    </row>
    <row r="116" spans="1:16" s="3" customFormat="1" ht="315">
      <c r="A116" s="394" t="s">
        <v>337</v>
      </c>
      <c r="B116" s="173" t="s">
        <v>344</v>
      </c>
      <c r="C116" s="395" t="s">
        <v>19</v>
      </c>
      <c r="D116" s="414" t="s">
        <v>349</v>
      </c>
      <c r="E116" s="406" t="s">
        <v>340</v>
      </c>
      <c r="F116" s="409" t="s">
        <v>350</v>
      </c>
      <c r="G116" s="746" t="s">
        <v>351</v>
      </c>
      <c r="H116" s="416"/>
      <c r="I116" s="446" t="s">
        <v>352</v>
      </c>
      <c r="J116" s="448" t="s">
        <v>34</v>
      </c>
      <c r="K116" s="448" t="s">
        <v>34</v>
      </c>
      <c r="L116" s="448" t="s">
        <v>34</v>
      </c>
      <c r="M116" s="450">
        <f>4*100/13</f>
        <v>30.769230769230798</v>
      </c>
      <c r="N116" s="450">
        <f>6*100/13</f>
        <v>46.153846153846203</v>
      </c>
      <c r="O116" s="450">
        <f>10*100/13</f>
        <v>76.923076923076906</v>
      </c>
      <c r="P116" s="449" t="s">
        <v>343</v>
      </c>
    </row>
    <row r="117" spans="1:16" s="3" customFormat="1" ht="315">
      <c r="A117" s="394" t="s">
        <v>337</v>
      </c>
      <c r="B117" s="173" t="s">
        <v>344</v>
      </c>
      <c r="C117" s="395" t="s">
        <v>19</v>
      </c>
      <c r="D117" s="417"/>
      <c r="E117" s="418"/>
      <c r="F117" s="409" t="s">
        <v>353</v>
      </c>
      <c r="G117" s="415" t="s">
        <v>354</v>
      </c>
      <c r="H117" s="408"/>
      <c r="I117" s="446" t="s">
        <v>355</v>
      </c>
      <c r="J117" s="448" t="s">
        <v>34</v>
      </c>
      <c r="K117" s="448" t="s">
        <v>34</v>
      </c>
      <c r="L117" s="448" t="s">
        <v>34</v>
      </c>
      <c r="M117" s="448">
        <v>10</v>
      </c>
      <c r="N117" s="448">
        <v>20</v>
      </c>
      <c r="O117" s="448">
        <v>30</v>
      </c>
      <c r="P117" s="449" t="s">
        <v>343</v>
      </c>
    </row>
    <row r="118" spans="1:16" s="1" customFormat="1" ht="26.25" customHeight="1">
      <c r="A118" s="419"/>
      <c r="B118" s="173"/>
      <c r="C118" s="395"/>
      <c r="D118" s="747" t="s">
        <v>3</v>
      </c>
      <c r="E118" s="932" t="s">
        <v>356</v>
      </c>
      <c r="F118" s="932"/>
      <c r="G118" s="932"/>
      <c r="H118" s="932"/>
      <c r="I118" s="932"/>
      <c r="J118" s="932"/>
      <c r="K118" s="932"/>
      <c r="L118" s="932"/>
      <c r="M118" s="932"/>
      <c r="N118" s="932"/>
      <c r="O118" s="834"/>
      <c r="P118" s="758"/>
    </row>
    <row r="119" spans="1:16" s="1" customFormat="1" ht="26.25" customHeight="1">
      <c r="A119" s="419"/>
      <c r="B119" s="173"/>
      <c r="C119" s="395"/>
      <c r="D119" s="907" t="s">
        <v>357</v>
      </c>
      <c r="E119" s="876"/>
      <c r="F119" s="876"/>
      <c r="G119" s="876"/>
      <c r="H119" s="876"/>
      <c r="I119" s="876"/>
      <c r="J119" s="876"/>
      <c r="K119" s="876"/>
      <c r="L119" s="876"/>
      <c r="M119" s="876"/>
      <c r="N119" s="876"/>
      <c r="O119" s="877"/>
      <c r="P119" s="759"/>
    </row>
    <row r="120" spans="1:16" s="1" customFormat="1" ht="409.5">
      <c r="A120" s="394"/>
      <c r="B120" s="173" t="s">
        <v>358</v>
      </c>
      <c r="C120" s="395" t="s">
        <v>19</v>
      </c>
      <c r="D120" s="37" t="s">
        <v>359</v>
      </c>
      <c r="E120" s="33" t="s">
        <v>235</v>
      </c>
      <c r="F120" s="33" t="s">
        <v>236</v>
      </c>
      <c r="G120" s="421" t="s">
        <v>360</v>
      </c>
      <c r="H120" s="748" t="s">
        <v>361</v>
      </c>
      <c r="I120" s="380"/>
      <c r="J120" s="35" t="s">
        <v>34</v>
      </c>
      <c r="K120" s="35">
        <v>10</v>
      </c>
      <c r="L120" s="35">
        <v>25</v>
      </c>
      <c r="M120" s="35">
        <v>50</v>
      </c>
      <c r="N120" s="35">
        <v>80</v>
      </c>
      <c r="O120" s="35">
        <v>100</v>
      </c>
      <c r="P120" s="61" t="s">
        <v>362</v>
      </c>
    </row>
    <row r="121" spans="1:16" s="1" customFormat="1" ht="183.75">
      <c r="A121" s="394"/>
      <c r="B121" s="173" t="s">
        <v>358</v>
      </c>
      <c r="C121" s="395" t="s">
        <v>19</v>
      </c>
      <c r="D121" s="939"/>
      <c r="E121" s="862"/>
      <c r="F121" s="882" t="s">
        <v>212</v>
      </c>
      <c r="G121" s="354" t="s">
        <v>363</v>
      </c>
      <c r="H121" s="424"/>
      <c r="I121" s="605" t="s">
        <v>364</v>
      </c>
      <c r="J121" s="35" t="s">
        <v>34</v>
      </c>
      <c r="K121" s="35" t="s">
        <v>34</v>
      </c>
      <c r="L121" s="35" t="s">
        <v>34</v>
      </c>
      <c r="M121" s="35">
        <v>80</v>
      </c>
      <c r="N121" s="35">
        <v>90</v>
      </c>
      <c r="O121" s="35">
        <v>100</v>
      </c>
      <c r="P121" s="61" t="s">
        <v>362</v>
      </c>
    </row>
    <row r="122" spans="1:16" s="1" customFormat="1" ht="183.75">
      <c r="A122" s="394"/>
      <c r="B122" s="173" t="s">
        <v>358</v>
      </c>
      <c r="C122" s="395" t="s">
        <v>19</v>
      </c>
      <c r="D122" s="940"/>
      <c r="E122" s="863"/>
      <c r="F122" s="884"/>
      <c r="G122" s="359"/>
      <c r="H122" s="424"/>
      <c r="I122" s="605" t="s">
        <v>365</v>
      </c>
      <c r="J122" s="35" t="s">
        <v>34</v>
      </c>
      <c r="K122" s="35" t="s">
        <v>34</v>
      </c>
      <c r="L122" s="35" t="s">
        <v>34</v>
      </c>
      <c r="M122" s="35">
        <v>80</v>
      </c>
      <c r="N122" s="35">
        <v>90</v>
      </c>
      <c r="O122" s="35">
        <v>95</v>
      </c>
      <c r="P122" s="61" t="s">
        <v>362</v>
      </c>
    </row>
    <row r="123" spans="1:16" s="1" customFormat="1" ht="409.5">
      <c r="A123" s="394"/>
      <c r="B123" s="173" t="s">
        <v>366</v>
      </c>
      <c r="C123" s="395" t="s">
        <v>19</v>
      </c>
      <c r="D123" s="37" t="s">
        <v>367</v>
      </c>
      <c r="E123" s="33" t="s">
        <v>235</v>
      </c>
      <c r="F123" s="33" t="s">
        <v>236</v>
      </c>
      <c r="G123" s="421" t="s">
        <v>368</v>
      </c>
      <c r="H123" s="397"/>
      <c r="I123" s="605" t="s">
        <v>369</v>
      </c>
      <c r="J123" s="35" t="s">
        <v>34</v>
      </c>
      <c r="K123" s="35" t="s">
        <v>34</v>
      </c>
      <c r="L123" s="35" t="s">
        <v>34</v>
      </c>
      <c r="M123" s="35">
        <v>30</v>
      </c>
      <c r="N123" s="35">
        <v>50</v>
      </c>
      <c r="O123" s="35">
        <v>70</v>
      </c>
      <c r="P123" s="61" t="s">
        <v>236</v>
      </c>
    </row>
    <row r="124" spans="1:16" s="1" customFormat="1" ht="131.25">
      <c r="A124" s="394"/>
      <c r="B124" s="173" t="s">
        <v>366</v>
      </c>
      <c r="C124" s="395" t="s">
        <v>19</v>
      </c>
      <c r="D124" s="36"/>
      <c r="E124" s="33" t="s">
        <v>322</v>
      </c>
      <c r="F124" s="427" t="s">
        <v>212</v>
      </c>
      <c r="G124" s="33" t="s">
        <v>370</v>
      </c>
      <c r="H124" s="397"/>
      <c r="I124" s="605" t="s">
        <v>371</v>
      </c>
      <c r="J124" s="35">
        <v>80</v>
      </c>
      <c r="K124" s="35">
        <v>80</v>
      </c>
      <c r="L124" s="35">
        <v>90</v>
      </c>
      <c r="M124" s="35">
        <v>90</v>
      </c>
      <c r="N124" s="35">
        <v>100</v>
      </c>
      <c r="O124" s="60">
        <v>100</v>
      </c>
      <c r="P124" s="61" t="s">
        <v>143</v>
      </c>
    </row>
    <row r="125" spans="1:16" s="1" customFormat="1" ht="26.25" customHeight="1">
      <c r="A125" s="428"/>
      <c r="B125" s="429"/>
      <c r="C125" s="430"/>
      <c r="D125" s="933" t="s">
        <v>372</v>
      </c>
      <c r="E125" s="934"/>
      <c r="F125" s="934"/>
      <c r="G125" s="934"/>
      <c r="H125" s="934"/>
      <c r="I125" s="934"/>
      <c r="J125" s="934"/>
      <c r="K125" s="934"/>
      <c r="L125" s="934"/>
      <c r="M125" s="934"/>
      <c r="N125" s="934"/>
      <c r="O125" s="935"/>
      <c r="P125" s="760"/>
    </row>
    <row r="126" spans="1:16" s="1" customFormat="1" ht="320.25" customHeight="1">
      <c r="A126" s="431" t="s">
        <v>373</v>
      </c>
      <c r="B126" s="404" t="s">
        <v>329</v>
      </c>
      <c r="C126" s="405" t="s">
        <v>19</v>
      </c>
      <c r="D126" s="432" t="s">
        <v>374</v>
      </c>
      <c r="E126" s="433" t="s">
        <v>375</v>
      </c>
      <c r="F126" s="406" t="s">
        <v>376</v>
      </c>
      <c r="G126" s="406" t="s">
        <v>377</v>
      </c>
      <c r="H126" s="410" t="s">
        <v>378</v>
      </c>
      <c r="I126" s="441"/>
      <c r="J126" s="452" t="s">
        <v>34</v>
      </c>
      <c r="K126" s="452" t="s">
        <v>34</v>
      </c>
      <c r="L126" s="452" t="s">
        <v>34</v>
      </c>
      <c r="M126" s="452">
        <v>3</v>
      </c>
      <c r="N126" s="452">
        <v>5</v>
      </c>
      <c r="O126" s="452">
        <v>10</v>
      </c>
      <c r="P126" s="433"/>
    </row>
    <row r="127" spans="1:16" s="1" customFormat="1" ht="26.25" customHeight="1">
      <c r="A127" s="434"/>
      <c r="B127" s="411"/>
      <c r="C127" s="435"/>
      <c r="D127" s="857" t="s">
        <v>379</v>
      </c>
      <c r="E127" s="858"/>
      <c r="F127" s="858"/>
      <c r="G127" s="858"/>
      <c r="H127" s="858"/>
      <c r="I127" s="858"/>
      <c r="J127" s="858"/>
      <c r="K127" s="858"/>
      <c r="L127" s="858"/>
      <c r="M127" s="858"/>
      <c r="N127" s="858"/>
      <c r="O127" s="859"/>
      <c r="P127" s="761"/>
    </row>
    <row r="128" spans="1:16" s="1" customFormat="1" ht="135.75" customHeight="1">
      <c r="A128" s="394" t="s">
        <v>380</v>
      </c>
      <c r="B128" s="173"/>
      <c r="C128" s="395" t="s">
        <v>19</v>
      </c>
      <c r="D128" s="37" t="s">
        <v>381</v>
      </c>
      <c r="E128" s="34" t="s">
        <v>235</v>
      </c>
      <c r="F128" s="34" t="s">
        <v>236</v>
      </c>
      <c r="G128" s="34" t="s">
        <v>382</v>
      </c>
      <c r="H128" s="742" t="s">
        <v>383</v>
      </c>
      <c r="I128" s="377"/>
      <c r="J128" s="35" t="s">
        <v>34</v>
      </c>
      <c r="K128" s="35" t="s">
        <v>34</v>
      </c>
      <c r="L128" s="35" t="s">
        <v>34</v>
      </c>
      <c r="M128" s="35">
        <v>80</v>
      </c>
      <c r="N128" s="35">
        <v>82</v>
      </c>
      <c r="O128" s="60">
        <v>84</v>
      </c>
      <c r="P128" s="61" t="s">
        <v>236</v>
      </c>
    </row>
    <row r="129" spans="1:16" s="1" customFormat="1" ht="210">
      <c r="A129" s="394" t="s">
        <v>384</v>
      </c>
      <c r="B129" s="173" t="s">
        <v>385</v>
      </c>
      <c r="C129" s="395" t="s">
        <v>19</v>
      </c>
      <c r="D129" s="37" t="s">
        <v>386</v>
      </c>
      <c r="E129" s="34" t="s">
        <v>235</v>
      </c>
      <c r="F129" s="34" t="s">
        <v>236</v>
      </c>
      <c r="G129" s="762" t="s">
        <v>387</v>
      </c>
      <c r="H129" s="742" t="s">
        <v>388</v>
      </c>
      <c r="I129" s="377"/>
      <c r="J129" s="35" t="s">
        <v>34</v>
      </c>
      <c r="K129" s="35" t="s">
        <v>34</v>
      </c>
      <c r="L129" s="35" t="s">
        <v>34</v>
      </c>
      <c r="M129" s="35">
        <v>80</v>
      </c>
      <c r="N129" s="35">
        <v>80</v>
      </c>
      <c r="O129" s="60">
        <v>80</v>
      </c>
      <c r="P129" s="75" t="s">
        <v>236</v>
      </c>
    </row>
    <row r="130" spans="1:16" s="1" customFormat="1" ht="409.5">
      <c r="A130" s="394" t="s">
        <v>384</v>
      </c>
      <c r="B130" s="173" t="s">
        <v>385</v>
      </c>
      <c r="C130" s="395" t="s">
        <v>19</v>
      </c>
      <c r="D130" s="37"/>
      <c r="E130" s="34"/>
      <c r="F130" s="34"/>
      <c r="G130" s="763" t="s">
        <v>389</v>
      </c>
      <c r="H130" s="742" t="s">
        <v>390</v>
      </c>
      <c r="I130" s="377"/>
      <c r="J130" s="35" t="s">
        <v>34</v>
      </c>
      <c r="K130" s="35" t="s">
        <v>34</v>
      </c>
      <c r="L130" s="35" t="s">
        <v>34</v>
      </c>
      <c r="M130" s="35">
        <v>80</v>
      </c>
      <c r="N130" s="35">
        <v>80</v>
      </c>
      <c r="O130" s="60">
        <v>80</v>
      </c>
      <c r="P130" s="75" t="s">
        <v>236</v>
      </c>
    </row>
    <row r="131" spans="1:16" s="1" customFormat="1" ht="26.25" customHeight="1">
      <c r="A131" s="394"/>
      <c r="B131" s="173"/>
      <c r="C131" s="436"/>
      <c r="D131" s="907" t="s">
        <v>391</v>
      </c>
      <c r="E131" s="876"/>
      <c r="F131" s="876"/>
      <c r="G131" s="876"/>
      <c r="H131" s="876"/>
      <c r="I131" s="876"/>
      <c r="J131" s="876"/>
      <c r="K131" s="876"/>
      <c r="L131" s="876"/>
      <c r="M131" s="876"/>
      <c r="N131" s="876"/>
      <c r="O131" s="877"/>
      <c r="P131" s="455"/>
    </row>
    <row r="132" spans="1:16" s="1" customFormat="1" ht="210">
      <c r="A132" s="394"/>
      <c r="B132" s="173"/>
      <c r="C132" s="437" t="s">
        <v>19</v>
      </c>
      <c r="D132" s="36" t="s">
        <v>392</v>
      </c>
      <c r="E132" s="21" t="s">
        <v>393</v>
      </c>
      <c r="F132" s="438" t="s">
        <v>394</v>
      </c>
      <c r="G132" s="632" t="s">
        <v>395</v>
      </c>
      <c r="H132" s="574" t="s">
        <v>396</v>
      </c>
      <c r="I132" s="377"/>
      <c r="J132" s="18" t="s">
        <v>34</v>
      </c>
      <c r="K132" s="18" t="s">
        <v>34</v>
      </c>
      <c r="L132" s="18" t="s">
        <v>34</v>
      </c>
      <c r="M132" s="18">
        <v>30</v>
      </c>
      <c r="N132" s="18">
        <v>40</v>
      </c>
      <c r="O132" s="456">
        <v>50</v>
      </c>
      <c r="P132" s="237" t="s">
        <v>397</v>
      </c>
    </row>
    <row r="133" spans="1:16" s="1" customFormat="1" ht="236.25">
      <c r="A133" s="394"/>
      <c r="B133" s="173"/>
      <c r="C133" s="437" t="s">
        <v>19</v>
      </c>
      <c r="D133" s="36"/>
      <c r="E133" s="21"/>
      <c r="F133" s="438"/>
      <c r="G133" s="632" t="s">
        <v>398</v>
      </c>
      <c r="H133" s="439"/>
      <c r="I133" s="672" t="s">
        <v>399</v>
      </c>
      <c r="J133" s="18" t="s">
        <v>34</v>
      </c>
      <c r="K133" s="18" t="s">
        <v>34</v>
      </c>
      <c r="L133" s="18" t="s">
        <v>34</v>
      </c>
      <c r="M133" s="18">
        <v>40</v>
      </c>
      <c r="N133" s="456">
        <v>50</v>
      </c>
      <c r="O133" s="456">
        <v>60</v>
      </c>
      <c r="P133" s="237" t="s">
        <v>397</v>
      </c>
    </row>
    <row r="134" spans="1:16" s="1" customFormat="1" ht="262.5">
      <c r="A134" s="394"/>
      <c r="B134" s="173"/>
      <c r="C134" s="437" t="s">
        <v>19</v>
      </c>
      <c r="D134" s="36"/>
      <c r="E134" s="21"/>
      <c r="F134" s="438"/>
      <c r="G134" s="632" t="s">
        <v>400</v>
      </c>
      <c r="H134" s="439"/>
      <c r="I134" s="672" t="s">
        <v>401</v>
      </c>
      <c r="J134" s="18" t="s">
        <v>34</v>
      </c>
      <c r="K134" s="18" t="s">
        <v>34</v>
      </c>
      <c r="L134" s="18" t="s">
        <v>34</v>
      </c>
      <c r="M134" s="18">
        <v>40</v>
      </c>
      <c r="N134" s="18">
        <v>50</v>
      </c>
      <c r="O134" s="456">
        <v>60</v>
      </c>
      <c r="P134" s="237" t="s">
        <v>397</v>
      </c>
    </row>
    <row r="135" spans="1:16" s="1" customFormat="1" ht="280.5" customHeight="1">
      <c r="A135" s="394"/>
      <c r="B135" s="173"/>
      <c r="C135" s="437" t="s">
        <v>19</v>
      </c>
      <c r="D135" s="36"/>
      <c r="E135" s="21"/>
      <c r="F135" s="438"/>
      <c r="G135" s="632" t="s">
        <v>402</v>
      </c>
      <c r="H135" s="439"/>
      <c r="I135" s="672" t="s">
        <v>403</v>
      </c>
      <c r="J135" s="18" t="s">
        <v>34</v>
      </c>
      <c r="K135" s="18" t="s">
        <v>34</v>
      </c>
      <c r="L135" s="18" t="s">
        <v>34</v>
      </c>
      <c r="M135" s="18">
        <v>50</v>
      </c>
      <c r="N135" s="18">
        <v>60</v>
      </c>
      <c r="O135" s="456">
        <v>70</v>
      </c>
      <c r="P135" s="237" t="s">
        <v>397</v>
      </c>
    </row>
    <row r="136" spans="1:16" s="1" customFormat="1" ht="262.5">
      <c r="A136" s="394"/>
      <c r="B136" s="173"/>
      <c r="C136" s="437" t="s">
        <v>19</v>
      </c>
      <c r="D136" s="36"/>
      <c r="E136" s="21"/>
      <c r="F136" s="438"/>
      <c r="G136" s="632" t="s">
        <v>404</v>
      </c>
      <c r="H136" s="439"/>
      <c r="I136" s="672" t="s">
        <v>405</v>
      </c>
      <c r="J136" s="18" t="s">
        <v>34</v>
      </c>
      <c r="K136" s="18" t="s">
        <v>34</v>
      </c>
      <c r="L136" s="18" t="s">
        <v>34</v>
      </c>
      <c r="M136" s="18">
        <v>50</v>
      </c>
      <c r="N136" s="18">
        <v>60</v>
      </c>
      <c r="O136" s="456">
        <v>70</v>
      </c>
      <c r="P136" s="237" t="s">
        <v>397</v>
      </c>
    </row>
    <row r="137" spans="1:16" s="1" customFormat="1" ht="157.5">
      <c r="A137" s="394" t="s">
        <v>233</v>
      </c>
      <c r="B137" s="173" t="s">
        <v>385</v>
      </c>
      <c r="C137" s="395" t="s">
        <v>19</v>
      </c>
      <c r="D137" s="37" t="s">
        <v>406</v>
      </c>
      <c r="E137" s="33" t="s">
        <v>407</v>
      </c>
      <c r="F137" s="21" t="s">
        <v>408</v>
      </c>
      <c r="G137" s="421" t="s">
        <v>409</v>
      </c>
      <c r="H137" s="424"/>
      <c r="I137" s="605" t="s">
        <v>410</v>
      </c>
      <c r="J137" s="18">
        <v>0</v>
      </c>
      <c r="K137" s="18">
        <v>20</v>
      </c>
      <c r="L137" s="18">
        <v>40</v>
      </c>
      <c r="M137" s="18">
        <v>60</v>
      </c>
      <c r="N137" s="18">
        <v>80</v>
      </c>
      <c r="O137" s="51">
        <v>100</v>
      </c>
      <c r="P137" s="52" t="s">
        <v>180</v>
      </c>
    </row>
    <row r="138" spans="1:16" s="1" customFormat="1" ht="26.25" customHeight="1">
      <c r="A138" s="419"/>
      <c r="B138" s="173"/>
      <c r="C138" s="395"/>
      <c r="D138" s="764" t="s">
        <v>3</v>
      </c>
      <c r="E138" s="856" t="s">
        <v>411</v>
      </c>
      <c r="F138" s="856"/>
      <c r="G138" s="856"/>
      <c r="H138" s="856"/>
      <c r="I138" s="856"/>
      <c r="J138" s="856"/>
      <c r="K138" s="856"/>
      <c r="L138" s="856"/>
      <c r="M138" s="856"/>
      <c r="N138" s="856"/>
      <c r="O138" s="853"/>
      <c r="P138" s="758"/>
    </row>
    <row r="139" spans="1:16" s="1" customFormat="1" ht="26.25" customHeight="1">
      <c r="A139" s="419"/>
      <c r="B139" s="173"/>
      <c r="C139" s="395"/>
      <c r="D139" s="907" t="s">
        <v>412</v>
      </c>
      <c r="E139" s="876"/>
      <c r="F139" s="876"/>
      <c r="G139" s="876"/>
      <c r="H139" s="876"/>
      <c r="I139" s="876"/>
      <c r="J139" s="876"/>
      <c r="K139" s="876"/>
      <c r="L139" s="876"/>
      <c r="M139" s="876"/>
      <c r="N139" s="876"/>
      <c r="O139" s="877"/>
      <c r="P139" s="759"/>
    </row>
    <row r="140" spans="1:16" s="1" customFormat="1" ht="409.5">
      <c r="A140" s="459" t="s">
        <v>413</v>
      </c>
      <c r="B140" s="429" t="s">
        <v>414</v>
      </c>
      <c r="C140" s="430" t="s">
        <v>19</v>
      </c>
      <c r="D140" s="460" t="s">
        <v>415</v>
      </c>
      <c r="E140" s="354" t="s">
        <v>416</v>
      </c>
      <c r="F140" s="461" t="s">
        <v>417</v>
      </c>
      <c r="G140" s="461" t="s">
        <v>418</v>
      </c>
      <c r="H140" s="765" t="s">
        <v>419</v>
      </c>
      <c r="I140" s="476"/>
      <c r="J140" s="477">
        <v>80</v>
      </c>
      <c r="K140" s="477">
        <v>82</v>
      </c>
      <c r="L140" s="477">
        <v>85</v>
      </c>
      <c r="M140" s="477">
        <v>86</v>
      </c>
      <c r="N140" s="477">
        <v>87</v>
      </c>
      <c r="O140" s="478">
        <v>88</v>
      </c>
      <c r="P140" s="479" t="s">
        <v>417</v>
      </c>
    </row>
    <row r="141" spans="1:16" s="1" customFormat="1" ht="210" customHeight="1">
      <c r="A141" s="434" t="s">
        <v>420</v>
      </c>
      <c r="B141" s="411" t="s">
        <v>421</v>
      </c>
      <c r="C141" s="435" t="s">
        <v>19</v>
      </c>
      <c r="D141" s="837" t="s">
        <v>422</v>
      </c>
      <c r="E141" s="101" t="s">
        <v>252</v>
      </c>
      <c r="F141" s="464" t="s">
        <v>423</v>
      </c>
      <c r="G141" s="101" t="s">
        <v>424</v>
      </c>
      <c r="H141" s="465"/>
      <c r="I141" s="791" t="s">
        <v>425</v>
      </c>
      <c r="J141" s="749">
        <v>10</v>
      </c>
      <c r="K141" s="749">
        <v>10</v>
      </c>
      <c r="L141" s="749">
        <v>10</v>
      </c>
      <c r="M141" s="749">
        <v>10</v>
      </c>
      <c r="N141" s="749">
        <v>10</v>
      </c>
      <c r="O141" s="792">
        <v>10</v>
      </c>
      <c r="P141" s="482" t="s">
        <v>426</v>
      </c>
    </row>
    <row r="142" spans="1:16" s="1" customFormat="1" ht="233.25" customHeight="1">
      <c r="A142" s="466" t="s">
        <v>420</v>
      </c>
      <c r="B142" s="467" t="s">
        <v>421</v>
      </c>
      <c r="C142" s="468" t="s">
        <v>19</v>
      </c>
      <c r="D142" s="838"/>
      <c r="E142" s="469" t="s">
        <v>427</v>
      </c>
      <c r="F142" s="470" t="s">
        <v>428</v>
      </c>
      <c r="G142" s="470" t="s">
        <v>429</v>
      </c>
      <c r="H142" s="472"/>
      <c r="I142" s="793" t="s">
        <v>430</v>
      </c>
      <c r="J142" s="383">
        <v>1</v>
      </c>
      <c r="K142" s="383">
        <v>3</v>
      </c>
      <c r="L142" s="383">
        <v>3</v>
      </c>
      <c r="M142" s="383">
        <v>3</v>
      </c>
      <c r="N142" s="383">
        <v>3</v>
      </c>
      <c r="O142" s="483">
        <v>3</v>
      </c>
      <c r="P142" s="484" t="s">
        <v>426</v>
      </c>
    </row>
    <row r="143" spans="1:16" customFormat="1" ht="14.25" customHeight="1">
      <c r="A143" s="828" t="s">
        <v>0</v>
      </c>
      <c r="B143" s="806"/>
      <c r="C143" s="807"/>
      <c r="D143" s="839" t="s">
        <v>431</v>
      </c>
      <c r="E143" s="822" t="s">
        <v>432</v>
      </c>
      <c r="F143" s="823"/>
      <c r="G143" s="823"/>
      <c r="H143" s="823"/>
      <c r="I143" s="823"/>
      <c r="J143" s="823"/>
      <c r="K143" s="823"/>
      <c r="L143" s="823"/>
      <c r="M143" s="823"/>
      <c r="N143" s="823"/>
      <c r="O143" s="823"/>
      <c r="P143" s="824"/>
    </row>
    <row r="144" spans="1:16" customFormat="1" ht="14.25" customHeight="1">
      <c r="A144" s="829"/>
      <c r="B144" s="809"/>
      <c r="C144" s="810"/>
      <c r="D144" s="840"/>
      <c r="E144" s="825"/>
      <c r="F144" s="826"/>
      <c r="G144" s="826"/>
      <c r="H144" s="826"/>
      <c r="I144" s="826"/>
      <c r="J144" s="826"/>
      <c r="K144" s="826"/>
      <c r="L144" s="826"/>
      <c r="M144" s="826"/>
      <c r="N144" s="826"/>
      <c r="O144" s="826"/>
      <c r="P144" s="827"/>
    </row>
    <row r="145" spans="1:16" customFormat="1" ht="26.25" customHeight="1">
      <c r="A145" s="829"/>
      <c r="B145" s="809"/>
      <c r="C145" s="810"/>
      <c r="D145" s="364" t="s">
        <v>3</v>
      </c>
      <c r="E145" s="879" t="s">
        <v>433</v>
      </c>
      <c r="F145" s="921"/>
      <c r="G145" s="921"/>
      <c r="H145" s="921"/>
      <c r="I145" s="921"/>
      <c r="J145" s="921"/>
      <c r="K145" s="921"/>
      <c r="L145" s="921"/>
      <c r="M145" s="921"/>
      <c r="N145" s="921"/>
      <c r="O145" s="921"/>
      <c r="P145" s="922"/>
    </row>
    <row r="146" spans="1:16" customFormat="1" ht="26.25" customHeight="1">
      <c r="A146" s="915" t="s">
        <v>5</v>
      </c>
      <c r="B146" s="809" t="s">
        <v>6</v>
      </c>
      <c r="C146" s="810" t="s">
        <v>7</v>
      </c>
      <c r="D146" s="840" t="s">
        <v>8</v>
      </c>
      <c r="E146" s="864" t="s">
        <v>9</v>
      </c>
      <c r="F146" s="864" t="s">
        <v>166</v>
      </c>
      <c r="G146" s="864" t="s">
        <v>11</v>
      </c>
      <c r="H146" s="864" t="s">
        <v>12</v>
      </c>
      <c r="I146" s="864" t="s">
        <v>13</v>
      </c>
      <c r="J146" s="864" t="s">
        <v>14</v>
      </c>
      <c r="K146" s="864"/>
      <c r="L146" s="864"/>
      <c r="M146" s="864"/>
      <c r="N146" s="864"/>
      <c r="O146" s="923"/>
      <c r="P146" s="925" t="s">
        <v>15</v>
      </c>
    </row>
    <row r="147" spans="1:16" customFormat="1">
      <c r="A147" s="916"/>
      <c r="B147" s="919"/>
      <c r="C147" s="843"/>
      <c r="D147" s="943"/>
      <c r="E147" s="865"/>
      <c r="F147" s="865"/>
      <c r="G147" s="865"/>
      <c r="H147" s="865"/>
      <c r="I147" s="865"/>
      <c r="J147" s="766">
        <v>65</v>
      </c>
      <c r="K147" s="766">
        <v>66</v>
      </c>
      <c r="L147" s="766">
        <v>67</v>
      </c>
      <c r="M147" s="766">
        <v>68</v>
      </c>
      <c r="N147" s="766">
        <v>69</v>
      </c>
      <c r="O147" s="794">
        <v>70</v>
      </c>
      <c r="P147" s="926"/>
    </row>
    <row r="148" spans="1:16" customFormat="1" ht="26.25" customHeight="1">
      <c r="A148" s="350"/>
      <c r="B148" s="259"/>
      <c r="C148" s="351"/>
      <c r="D148" s="924" t="s">
        <v>434</v>
      </c>
      <c r="E148" s="858"/>
      <c r="F148" s="858"/>
      <c r="G148" s="858"/>
      <c r="H148" s="858"/>
      <c r="I148" s="858"/>
      <c r="J148" s="858"/>
      <c r="K148" s="858"/>
      <c r="L148" s="858"/>
      <c r="M148" s="858"/>
      <c r="N148" s="858"/>
      <c r="O148" s="859"/>
      <c r="P148" s="795"/>
    </row>
    <row r="149" spans="1:16" customFormat="1" ht="210">
      <c r="A149" s="352"/>
      <c r="B149" s="173" t="s">
        <v>435</v>
      </c>
      <c r="C149" s="178" t="s">
        <v>19</v>
      </c>
      <c r="D149" s="353" t="s">
        <v>436</v>
      </c>
      <c r="E149" s="34" t="s">
        <v>132</v>
      </c>
      <c r="F149" s="354" t="s">
        <v>437</v>
      </c>
      <c r="G149" s="767" t="s">
        <v>438</v>
      </c>
      <c r="H149" s="768" t="s">
        <v>439</v>
      </c>
      <c r="I149" s="377"/>
      <c r="J149" s="35" t="s">
        <v>34</v>
      </c>
      <c r="K149" s="35" t="s">
        <v>34</v>
      </c>
      <c r="L149" s="35" t="s">
        <v>34</v>
      </c>
      <c r="M149" s="35" t="s">
        <v>440</v>
      </c>
      <c r="N149" s="35" t="s">
        <v>441</v>
      </c>
      <c r="O149" s="60" t="s">
        <v>442</v>
      </c>
      <c r="P149" s="156" t="s">
        <v>437</v>
      </c>
    </row>
    <row r="150" spans="1:16" customFormat="1" ht="288.75">
      <c r="A150" s="352"/>
      <c r="B150" s="173" t="s">
        <v>435</v>
      </c>
      <c r="C150" s="178" t="s">
        <v>19</v>
      </c>
      <c r="D150" s="356"/>
      <c r="E150" s="354" t="s">
        <v>443</v>
      </c>
      <c r="F150" s="357" t="s">
        <v>444</v>
      </c>
      <c r="G150" s="357" t="s">
        <v>445</v>
      </c>
      <c r="H150" s="358"/>
      <c r="I150" s="672" t="s">
        <v>446</v>
      </c>
      <c r="J150" s="35" t="s">
        <v>34</v>
      </c>
      <c r="K150" s="35" t="s">
        <v>34</v>
      </c>
      <c r="L150" s="35" t="s">
        <v>34</v>
      </c>
      <c r="M150" s="35" t="s">
        <v>447</v>
      </c>
      <c r="N150" s="35" t="s">
        <v>448</v>
      </c>
      <c r="O150" s="60" t="s">
        <v>449</v>
      </c>
      <c r="P150" s="156" t="s">
        <v>444</v>
      </c>
    </row>
    <row r="151" spans="1:16" customFormat="1" ht="131.25">
      <c r="A151" s="352" t="s">
        <v>45</v>
      </c>
      <c r="B151" s="173" t="s">
        <v>435</v>
      </c>
      <c r="C151" s="178" t="s">
        <v>19</v>
      </c>
      <c r="D151" s="356"/>
      <c r="E151" s="359" t="s">
        <v>450</v>
      </c>
      <c r="F151" s="354" t="s">
        <v>451</v>
      </c>
      <c r="G151" s="769" t="s">
        <v>452</v>
      </c>
      <c r="H151" s="361"/>
      <c r="I151" s="672" t="s">
        <v>453</v>
      </c>
      <c r="J151" s="35" t="s">
        <v>34</v>
      </c>
      <c r="K151" s="35" t="s">
        <v>34</v>
      </c>
      <c r="L151" s="35" t="s">
        <v>34</v>
      </c>
      <c r="M151" s="18" t="s">
        <v>454</v>
      </c>
      <c r="N151" s="18" t="s">
        <v>454</v>
      </c>
      <c r="O151" s="51" t="s">
        <v>454</v>
      </c>
      <c r="P151" s="156" t="s">
        <v>451</v>
      </c>
    </row>
    <row r="152" spans="1:16" customFormat="1" ht="288.75">
      <c r="A152" s="352"/>
      <c r="B152" s="173" t="s">
        <v>435</v>
      </c>
      <c r="C152" s="178" t="s">
        <v>19</v>
      </c>
      <c r="D152" s="356"/>
      <c r="E152" s="34"/>
      <c r="F152" s="357" t="s">
        <v>444</v>
      </c>
      <c r="G152" s="769" t="s">
        <v>455</v>
      </c>
      <c r="H152" s="768" t="s">
        <v>456</v>
      </c>
      <c r="I152" s="377"/>
      <c r="J152" s="35" t="s">
        <v>34</v>
      </c>
      <c r="K152" s="35" t="s">
        <v>34</v>
      </c>
      <c r="L152" s="35" t="s">
        <v>34</v>
      </c>
      <c r="M152" s="35" t="s">
        <v>457</v>
      </c>
      <c r="N152" s="35" t="s">
        <v>457</v>
      </c>
      <c r="O152" s="60" t="s">
        <v>457</v>
      </c>
      <c r="P152" s="156" t="s">
        <v>444</v>
      </c>
    </row>
    <row r="153" spans="1:16" customFormat="1" ht="26.25" customHeight="1">
      <c r="A153" s="352"/>
      <c r="B153" s="173"/>
      <c r="C153" s="362"/>
      <c r="D153" s="875" t="s">
        <v>458</v>
      </c>
      <c r="E153" s="876"/>
      <c r="F153" s="876"/>
      <c r="G153" s="876"/>
      <c r="H153" s="876"/>
      <c r="I153" s="876"/>
      <c r="J153" s="876"/>
      <c r="K153" s="876"/>
      <c r="L153" s="876"/>
      <c r="M153" s="876"/>
      <c r="N153" s="876"/>
      <c r="O153" s="877"/>
      <c r="P153" s="378"/>
    </row>
    <row r="154" spans="1:16" customFormat="1" ht="270.75" customHeight="1">
      <c r="A154" s="352"/>
      <c r="B154" s="173" t="s">
        <v>459</v>
      </c>
      <c r="C154" s="178" t="s">
        <v>19</v>
      </c>
      <c r="D154" s="944" t="s">
        <v>460</v>
      </c>
      <c r="E154" s="34" t="s">
        <v>132</v>
      </c>
      <c r="F154" s="21" t="s">
        <v>461</v>
      </c>
      <c r="G154" s="21" t="s">
        <v>462</v>
      </c>
      <c r="H154" s="768" t="s">
        <v>463</v>
      </c>
      <c r="I154" s="377"/>
      <c r="J154" s="35" t="s">
        <v>464</v>
      </c>
      <c r="K154" s="18" t="s">
        <v>454</v>
      </c>
      <c r="L154" s="18" t="s">
        <v>454</v>
      </c>
      <c r="M154" s="18" t="s">
        <v>454</v>
      </c>
      <c r="N154" s="18" t="s">
        <v>454</v>
      </c>
      <c r="O154" s="51" t="s">
        <v>454</v>
      </c>
      <c r="P154" s="379" t="s">
        <v>465</v>
      </c>
    </row>
    <row r="155" spans="1:16" customFormat="1" ht="157.5">
      <c r="A155" s="352"/>
      <c r="B155" s="173" t="s">
        <v>459</v>
      </c>
      <c r="C155" s="178" t="s">
        <v>19</v>
      </c>
      <c r="D155" s="945"/>
      <c r="E155" s="34"/>
      <c r="F155" s="21"/>
      <c r="G155" s="21" t="s">
        <v>466</v>
      </c>
      <c r="H155" s="355"/>
      <c r="I155" s="672" t="s">
        <v>467</v>
      </c>
      <c r="J155" s="35" t="s">
        <v>464</v>
      </c>
      <c r="K155" s="18" t="s">
        <v>454</v>
      </c>
      <c r="L155" s="18" t="s">
        <v>454</v>
      </c>
      <c r="M155" s="18" t="s">
        <v>454</v>
      </c>
      <c r="N155" s="18" t="s">
        <v>454</v>
      </c>
      <c r="O155" s="51" t="s">
        <v>454</v>
      </c>
      <c r="P155" s="379" t="s">
        <v>465</v>
      </c>
    </row>
    <row r="156" spans="1:16" customFormat="1" ht="240" customHeight="1">
      <c r="A156" s="352"/>
      <c r="B156" s="173" t="s">
        <v>468</v>
      </c>
      <c r="C156" s="178" t="s">
        <v>19</v>
      </c>
      <c r="D156" s="944" t="s">
        <v>469</v>
      </c>
      <c r="E156" s="866" t="s">
        <v>470</v>
      </c>
      <c r="F156" s="882" t="s">
        <v>471</v>
      </c>
      <c r="G156" s="632" t="s">
        <v>472</v>
      </c>
      <c r="H156" s="770" t="s">
        <v>473</v>
      </c>
      <c r="I156" s="380"/>
      <c r="J156" s="35" t="s">
        <v>34</v>
      </c>
      <c r="K156" s="35" t="s">
        <v>34</v>
      </c>
      <c r="L156" s="35" t="s">
        <v>34</v>
      </c>
      <c r="M156" s="18">
        <v>1</v>
      </c>
      <c r="N156" s="18">
        <v>1</v>
      </c>
      <c r="O156" s="18">
        <v>1</v>
      </c>
      <c r="P156" s="379" t="s">
        <v>471</v>
      </c>
    </row>
    <row r="157" spans="1:16" customFormat="1" ht="246" customHeight="1">
      <c r="A157" s="352"/>
      <c r="B157" s="173" t="s">
        <v>468</v>
      </c>
      <c r="C157" s="178" t="s">
        <v>19</v>
      </c>
      <c r="D157" s="945"/>
      <c r="E157" s="867"/>
      <c r="F157" s="884"/>
      <c r="G157" s="632" t="s">
        <v>474</v>
      </c>
      <c r="H157" s="363"/>
      <c r="I157" s="605" t="s">
        <v>475</v>
      </c>
      <c r="J157" s="35" t="s">
        <v>34</v>
      </c>
      <c r="K157" s="35" t="s">
        <v>34</v>
      </c>
      <c r="L157" s="35" t="s">
        <v>34</v>
      </c>
      <c r="M157" s="18" t="s">
        <v>476</v>
      </c>
      <c r="N157" s="18" t="s">
        <v>476</v>
      </c>
      <c r="O157" s="51" t="s">
        <v>476</v>
      </c>
      <c r="P157" s="379" t="s">
        <v>471</v>
      </c>
    </row>
    <row r="158" spans="1:16" customFormat="1" ht="26.25" customHeight="1">
      <c r="A158" s="352"/>
      <c r="B158" s="173"/>
      <c r="C158" s="362"/>
      <c r="D158" s="364" t="s">
        <v>3</v>
      </c>
      <c r="E158" s="878" t="s">
        <v>477</v>
      </c>
      <c r="F158" s="878"/>
      <c r="G158" s="878"/>
      <c r="H158" s="878"/>
      <c r="I158" s="878"/>
      <c r="J158" s="878"/>
      <c r="K158" s="878"/>
      <c r="L158" s="878"/>
      <c r="M158" s="878"/>
      <c r="N158" s="878"/>
      <c r="O158" s="879"/>
      <c r="P158" s="381"/>
    </row>
    <row r="159" spans="1:16" customFormat="1" ht="26.25" customHeight="1">
      <c r="A159" s="352"/>
      <c r="B159" s="173"/>
      <c r="C159" s="362"/>
      <c r="D159" s="875" t="s">
        <v>478</v>
      </c>
      <c r="E159" s="876"/>
      <c r="F159" s="876"/>
      <c r="G159" s="876"/>
      <c r="H159" s="876"/>
      <c r="I159" s="876"/>
      <c r="J159" s="876"/>
      <c r="K159" s="876"/>
      <c r="L159" s="876"/>
      <c r="M159" s="876"/>
      <c r="N159" s="876"/>
      <c r="O159" s="877"/>
      <c r="P159" s="378"/>
    </row>
    <row r="160" spans="1:16" customFormat="1" ht="111" customHeight="1">
      <c r="A160" s="352"/>
      <c r="B160" s="173" t="s">
        <v>479</v>
      </c>
      <c r="C160" s="178" t="s">
        <v>19</v>
      </c>
      <c r="D160" s="944" t="s">
        <v>480</v>
      </c>
      <c r="E160" s="866" t="s">
        <v>132</v>
      </c>
      <c r="F160" s="866" t="s">
        <v>461</v>
      </c>
      <c r="G160" s="942" t="s">
        <v>481</v>
      </c>
      <c r="H160" s="770" t="s">
        <v>482</v>
      </c>
      <c r="I160" s="380"/>
      <c r="J160" s="35" t="s">
        <v>34</v>
      </c>
      <c r="K160" s="35" t="s">
        <v>34</v>
      </c>
      <c r="L160" s="35" t="s">
        <v>34</v>
      </c>
      <c r="M160" s="35">
        <v>70</v>
      </c>
      <c r="N160" s="35">
        <v>75</v>
      </c>
      <c r="O160" s="35">
        <v>80</v>
      </c>
      <c r="P160" s="379" t="s">
        <v>461</v>
      </c>
    </row>
    <row r="161" spans="1:16" customFormat="1" ht="132" customHeight="1">
      <c r="A161" s="352"/>
      <c r="B161" s="173" t="s">
        <v>479</v>
      </c>
      <c r="C161" s="178" t="s">
        <v>19</v>
      </c>
      <c r="D161" s="946"/>
      <c r="E161" s="868"/>
      <c r="F161" s="868"/>
      <c r="G161" s="868"/>
      <c r="H161" s="365"/>
      <c r="I161" s="605" t="s">
        <v>483</v>
      </c>
      <c r="J161" s="35" t="s">
        <v>34</v>
      </c>
      <c r="K161" s="35" t="s">
        <v>34</v>
      </c>
      <c r="L161" s="35" t="s">
        <v>34</v>
      </c>
      <c r="M161" s="35" t="s">
        <v>464</v>
      </c>
      <c r="N161" s="35" t="s">
        <v>457</v>
      </c>
      <c r="O161" s="60" t="s">
        <v>484</v>
      </c>
      <c r="P161" s="379" t="s">
        <v>461</v>
      </c>
    </row>
    <row r="162" spans="1:16" customFormat="1" ht="131.25">
      <c r="A162" s="352"/>
      <c r="B162" s="173" t="s">
        <v>479</v>
      </c>
      <c r="C162" s="178" t="s">
        <v>19</v>
      </c>
      <c r="D162" s="946"/>
      <c r="E162" s="868"/>
      <c r="F162" s="868"/>
      <c r="G162" s="868"/>
      <c r="H162" s="363"/>
      <c r="I162" s="605" t="s">
        <v>485</v>
      </c>
      <c r="J162" s="35" t="s">
        <v>34</v>
      </c>
      <c r="K162" s="35" t="s">
        <v>34</v>
      </c>
      <c r="L162" s="35" t="s">
        <v>34</v>
      </c>
      <c r="M162" s="35" t="s">
        <v>449</v>
      </c>
      <c r="N162" s="35" t="s">
        <v>486</v>
      </c>
      <c r="O162" s="35" t="s">
        <v>440</v>
      </c>
      <c r="P162" s="379" t="s">
        <v>461</v>
      </c>
    </row>
    <row r="163" spans="1:16" customFormat="1" ht="157.5">
      <c r="A163" s="352"/>
      <c r="B163" s="173" t="s">
        <v>479</v>
      </c>
      <c r="C163" s="178" t="s">
        <v>19</v>
      </c>
      <c r="D163" s="945"/>
      <c r="E163" s="867"/>
      <c r="F163" s="867"/>
      <c r="G163" s="867"/>
      <c r="H163" s="363"/>
      <c r="I163" s="605" t="s">
        <v>487</v>
      </c>
      <c r="J163" s="35" t="s">
        <v>34</v>
      </c>
      <c r="K163" s="35" t="s">
        <v>34</v>
      </c>
      <c r="L163" s="35" t="s">
        <v>34</v>
      </c>
      <c r="M163" s="35" t="s">
        <v>448</v>
      </c>
      <c r="N163" s="35" t="s">
        <v>488</v>
      </c>
      <c r="O163" s="60" t="s">
        <v>486</v>
      </c>
      <c r="P163" s="379" t="s">
        <v>461</v>
      </c>
    </row>
    <row r="164" spans="1:16" customFormat="1" ht="26.25" customHeight="1">
      <c r="A164" s="352"/>
      <c r="B164" s="173"/>
      <c r="C164" s="362"/>
      <c r="D164" s="875" t="s">
        <v>489</v>
      </c>
      <c r="E164" s="876"/>
      <c r="F164" s="876"/>
      <c r="G164" s="876"/>
      <c r="H164" s="876"/>
      <c r="I164" s="876"/>
      <c r="J164" s="876"/>
      <c r="K164" s="876"/>
      <c r="L164" s="876"/>
      <c r="M164" s="876"/>
      <c r="N164" s="876"/>
      <c r="O164" s="877"/>
      <c r="P164" s="378"/>
    </row>
    <row r="165" spans="1:16" s="88" customFormat="1" ht="157.5">
      <c r="A165" s="352"/>
      <c r="B165" s="173" t="s">
        <v>490</v>
      </c>
      <c r="C165" s="178" t="s">
        <v>19</v>
      </c>
      <c r="D165" s="366" t="s">
        <v>491</v>
      </c>
      <c r="E165" s="367" t="s">
        <v>132</v>
      </c>
      <c r="F165" s="367" t="s">
        <v>492</v>
      </c>
      <c r="G165" s="771" t="s">
        <v>493</v>
      </c>
      <c r="H165" s="770" t="s">
        <v>494</v>
      </c>
      <c r="I165" s="380"/>
      <c r="J165" s="35" t="s">
        <v>34</v>
      </c>
      <c r="K165" s="35" t="s">
        <v>34</v>
      </c>
      <c r="L165" s="35" t="s">
        <v>34</v>
      </c>
      <c r="M165" s="18" t="s">
        <v>457</v>
      </c>
      <c r="N165" s="18" t="s">
        <v>484</v>
      </c>
      <c r="O165" s="51" t="s">
        <v>447</v>
      </c>
      <c r="P165" s="379" t="s">
        <v>492</v>
      </c>
    </row>
    <row r="166" spans="1:16" customFormat="1" ht="26.25" customHeight="1">
      <c r="A166" s="352"/>
      <c r="B166" s="173"/>
      <c r="C166" s="362"/>
      <c r="D166" s="364" t="s">
        <v>3</v>
      </c>
      <c r="E166" s="878" t="s">
        <v>495</v>
      </c>
      <c r="F166" s="878"/>
      <c r="G166" s="878"/>
      <c r="H166" s="878"/>
      <c r="I166" s="878"/>
      <c r="J166" s="878"/>
      <c r="K166" s="878"/>
      <c r="L166" s="878"/>
      <c r="M166" s="878"/>
      <c r="N166" s="878"/>
      <c r="O166" s="879"/>
      <c r="P166" s="381"/>
    </row>
    <row r="167" spans="1:16" customFormat="1" ht="26.25" customHeight="1">
      <c r="A167" s="352"/>
      <c r="B167" s="173"/>
      <c r="C167" s="362"/>
      <c r="D167" s="875" t="s">
        <v>496</v>
      </c>
      <c r="E167" s="876"/>
      <c r="F167" s="876"/>
      <c r="G167" s="876"/>
      <c r="H167" s="876"/>
      <c r="I167" s="876"/>
      <c r="J167" s="876"/>
      <c r="K167" s="876"/>
      <c r="L167" s="876"/>
      <c r="M167" s="876"/>
      <c r="N167" s="876"/>
      <c r="O167" s="877"/>
      <c r="P167" s="378"/>
    </row>
    <row r="168" spans="1:16" s="88" customFormat="1" ht="210">
      <c r="A168" s="368"/>
      <c r="B168" s="369" t="s">
        <v>497</v>
      </c>
      <c r="C168" s="178" t="s">
        <v>19</v>
      </c>
      <c r="D168" s="366" t="s">
        <v>498</v>
      </c>
      <c r="E168" s="367" t="s">
        <v>132</v>
      </c>
      <c r="F168" s="367" t="s">
        <v>461</v>
      </c>
      <c r="G168" s="771" t="s">
        <v>499</v>
      </c>
      <c r="H168" s="363"/>
      <c r="I168" s="605" t="s">
        <v>500</v>
      </c>
      <c r="J168" s="35" t="s">
        <v>34</v>
      </c>
      <c r="K168" s="35" t="s">
        <v>34</v>
      </c>
      <c r="L168" s="35" t="s">
        <v>34</v>
      </c>
      <c r="M168" s="18">
        <v>50</v>
      </c>
      <c r="N168" s="18">
        <v>70</v>
      </c>
      <c r="O168" s="51">
        <v>80</v>
      </c>
      <c r="P168" s="379" t="s">
        <v>501</v>
      </c>
    </row>
    <row r="169" spans="1:16" s="88" customFormat="1" ht="315">
      <c r="A169" s="370"/>
      <c r="B169" s="371" t="s">
        <v>497</v>
      </c>
      <c r="C169" s="184" t="s">
        <v>19</v>
      </c>
      <c r="D169" s="372" t="s">
        <v>502</v>
      </c>
      <c r="E169" s="373" t="s">
        <v>132</v>
      </c>
      <c r="F169" s="373" t="s">
        <v>503</v>
      </c>
      <c r="G169" s="772" t="s">
        <v>504</v>
      </c>
      <c r="H169" s="374"/>
      <c r="I169" s="793" t="s">
        <v>505</v>
      </c>
      <c r="J169" s="383" t="s">
        <v>34</v>
      </c>
      <c r="K169" s="383" t="s">
        <v>34</v>
      </c>
      <c r="L169" s="383" t="s">
        <v>34</v>
      </c>
      <c r="M169" s="384">
        <v>20</v>
      </c>
      <c r="N169" s="384">
        <v>50</v>
      </c>
      <c r="O169" s="385">
        <v>100</v>
      </c>
      <c r="P169" s="386" t="s">
        <v>501</v>
      </c>
    </row>
    <row r="171" spans="1:16">
      <c r="D171" s="773" t="s">
        <v>506</v>
      </c>
      <c r="E171" s="774">
        <v>5</v>
      </c>
      <c r="F171" s="774" t="s">
        <v>507</v>
      </c>
      <c r="G171" s="774"/>
      <c r="H171" s="774"/>
      <c r="I171" s="796"/>
    </row>
    <row r="172" spans="1:16">
      <c r="D172" s="775" t="s">
        <v>508</v>
      </c>
      <c r="E172" s="692">
        <f>4+3+3+3+2</f>
        <v>15</v>
      </c>
      <c r="F172" s="692" t="s">
        <v>509</v>
      </c>
      <c r="G172" s="776" t="s">
        <v>510</v>
      </c>
      <c r="H172" s="692">
        <f>2+3+3+3+3</f>
        <v>14</v>
      </c>
      <c r="I172" s="797" t="s">
        <v>509</v>
      </c>
    </row>
    <row r="173" spans="1:16">
      <c r="D173" s="775" t="s">
        <v>511</v>
      </c>
      <c r="E173" s="692">
        <f>4+4+4+8+4</f>
        <v>24</v>
      </c>
      <c r="F173" s="692" t="s">
        <v>509</v>
      </c>
      <c r="G173" s="776" t="s">
        <v>512</v>
      </c>
      <c r="H173" s="692">
        <f>4+5+3+7+6</f>
        <v>25</v>
      </c>
      <c r="I173" s="797" t="s">
        <v>509</v>
      </c>
    </row>
    <row r="174" spans="1:16">
      <c r="D174" s="775" t="s">
        <v>513</v>
      </c>
      <c r="E174" s="692">
        <f>2+2+3+2+2</f>
        <v>11</v>
      </c>
      <c r="F174" s="692" t="s">
        <v>509</v>
      </c>
      <c r="G174" s="776" t="s">
        <v>514</v>
      </c>
      <c r="H174" s="692">
        <f>11+10+4+15+7</f>
        <v>47</v>
      </c>
      <c r="I174" s="797" t="s">
        <v>509</v>
      </c>
    </row>
    <row r="175" spans="1:16">
      <c r="D175" s="777" t="s">
        <v>515</v>
      </c>
      <c r="E175" s="778"/>
      <c r="F175" s="778"/>
      <c r="G175" s="778" t="s">
        <v>516</v>
      </c>
      <c r="I175" s="797"/>
    </row>
    <row r="176" spans="1:16">
      <c r="D176" s="779" t="s">
        <v>1</v>
      </c>
      <c r="E176" s="692">
        <v>12</v>
      </c>
      <c r="F176" s="692" t="s">
        <v>509</v>
      </c>
      <c r="G176" s="780" t="s">
        <v>1</v>
      </c>
      <c r="H176" s="692">
        <v>20</v>
      </c>
      <c r="I176" s="797" t="s">
        <v>509</v>
      </c>
    </row>
    <row r="177" spans="4:9">
      <c r="D177" s="781" t="s">
        <v>163</v>
      </c>
      <c r="E177" s="692">
        <v>10</v>
      </c>
      <c r="F177" s="692" t="s">
        <v>509</v>
      </c>
      <c r="G177" s="782" t="s">
        <v>163</v>
      </c>
      <c r="H177" s="692">
        <v>10</v>
      </c>
      <c r="I177" s="797" t="s">
        <v>509</v>
      </c>
    </row>
    <row r="178" spans="4:9">
      <c r="D178" s="783" t="s">
        <v>255</v>
      </c>
      <c r="E178" s="692">
        <v>4</v>
      </c>
      <c r="F178" s="692" t="s">
        <v>509</v>
      </c>
      <c r="G178" s="784" t="s">
        <v>255</v>
      </c>
      <c r="H178" s="692">
        <v>3</v>
      </c>
      <c r="I178" s="797" t="s">
        <v>509</v>
      </c>
    </row>
    <row r="179" spans="4:9">
      <c r="D179" s="785" t="s">
        <v>293</v>
      </c>
      <c r="E179" s="692">
        <v>13</v>
      </c>
      <c r="F179" s="692" t="s">
        <v>509</v>
      </c>
      <c r="G179" s="786" t="s">
        <v>293</v>
      </c>
      <c r="H179" s="692">
        <v>22</v>
      </c>
      <c r="I179" s="797" t="s">
        <v>509</v>
      </c>
    </row>
    <row r="180" spans="4:9">
      <c r="D180" s="787" t="s">
        <v>431</v>
      </c>
      <c r="E180" s="692">
        <v>6</v>
      </c>
      <c r="F180" s="692" t="s">
        <v>509</v>
      </c>
      <c r="G180" s="788" t="s">
        <v>431</v>
      </c>
      <c r="H180" s="692">
        <v>9</v>
      </c>
      <c r="I180" s="797" t="s">
        <v>509</v>
      </c>
    </row>
    <row r="181" spans="4:9">
      <c r="D181" s="789" t="s">
        <v>517</v>
      </c>
      <c r="E181" s="790">
        <f>SUM(E176:E180)</f>
        <v>45</v>
      </c>
      <c r="F181" s="790" t="s">
        <v>509</v>
      </c>
      <c r="G181" s="790" t="s">
        <v>517</v>
      </c>
      <c r="H181" s="790">
        <f>SUM(H176:H180)</f>
        <v>64</v>
      </c>
      <c r="I181" s="798" t="s">
        <v>509</v>
      </c>
    </row>
  </sheetData>
  <mergeCells count="153">
    <mergeCell ref="E4:O4"/>
    <mergeCell ref="J5:O5"/>
    <mergeCell ref="D7:O7"/>
    <mergeCell ref="D23:O23"/>
    <mergeCell ref="E34:O34"/>
    <mergeCell ref="D35:O35"/>
    <mergeCell ref="D37:O37"/>
    <mergeCell ref="E45:P45"/>
    <mergeCell ref="E46:O46"/>
    <mergeCell ref="F5:F6"/>
    <mergeCell ref="F13:F14"/>
    <mergeCell ref="F15:F19"/>
    <mergeCell ref="F20:F21"/>
    <mergeCell ref="F32:F33"/>
    <mergeCell ref="G5:G6"/>
    <mergeCell ref="G20:G21"/>
    <mergeCell ref="H5:H6"/>
    <mergeCell ref="I5:I6"/>
    <mergeCell ref="P5:P6"/>
    <mergeCell ref="P32:P33"/>
    <mergeCell ref="E5:E6"/>
    <mergeCell ref="J47:O47"/>
    <mergeCell ref="D49:O49"/>
    <mergeCell ref="D58:O58"/>
    <mergeCell ref="E61:O61"/>
    <mergeCell ref="D62:O62"/>
    <mergeCell ref="D65:O65"/>
    <mergeCell ref="E70:O70"/>
    <mergeCell ref="D71:O71"/>
    <mergeCell ref="E78:P78"/>
    <mergeCell ref="F47:F48"/>
    <mergeCell ref="F50:F53"/>
    <mergeCell ref="F59:F60"/>
    <mergeCell ref="F66:F68"/>
    <mergeCell ref="G47:G48"/>
    <mergeCell ref="G51:G53"/>
    <mergeCell ref="G59:G60"/>
    <mergeCell ref="G66:G68"/>
    <mergeCell ref="H47:H48"/>
    <mergeCell ref="I47:I48"/>
    <mergeCell ref="P47:P48"/>
    <mergeCell ref="D164:O164"/>
    <mergeCell ref="E166:O166"/>
    <mergeCell ref="D167:O167"/>
    <mergeCell ref="F146:F147"/>
    <mergeCell ref="F156:F157"/>
    <mergeCell ref="F160:F163"/>
    <mergeCell ref="G146:G147"/>
    <mergeCell ref="G160:G163"/>
    <mergeCell ref="H146:H147"/>
    <mergeCell ref="I146:I147"/>
    <mergeCell ref="D146:D147"/>
    <mergeCell ref="D154:D155"/>
    <mergeCell ref="D156:D157"/>
    <mergeCell ref="D160:D163"/>
    <mergeCell ref="A146:A147"/>
    <mergeCell ref="B5:B6"/>
    <mergeCell ref="B47:B48"/>
    <mergeCell ref="B79:B80"/>
    <mergeCell ref="B96:B97"/>
    <mergeCell ref="B146:B147"/>
    <mergeCell ref="E145:P145"/>
    <mergeCell ref="J146:O146"/>
    <mergeCell ref="D148:O148"/>
    <mergeCell ref="P146:P147"/>
    <mergeCell ref="D105:O105"/>
    <mergeCell ref="D113:P113"/>
    <mergeCell ref="E118:O118"/>
    <mergeCell ref="D119:O119"/>
    <mergeCell ref="D125:O125"/>
    <mergeCell ref="D127:O127"/>
    <mergeCell ref="D131:O131"/>
    <mergeCell ref="E138:O138"/>
    <mergeCell ref="D139:O139"/>
    <mergeCell ref="D106:D109"/>
    <mergeCell ref="D110:D112"/>
    <mergeCell ref="D121:D122"/>
    <mergeCell ref="F121:F122"/>
    <mergeCell ref="J79:O79"/>
    <mergeCell ref="C146:C147"/>
    <mergeCell ref="D2:D3"/>
    <mergeCell ref="D5:D6"/>
    <mergeCell ref="D13:D19"/>
    <mergeCell ref="D20:D21"/>
    <mergeCell ref="D24:D29"/>
    <mergeCell ref="D30:D31"/>
    <mergeCell ref="D32:D33"/>
    <mergeCell ref="D47:D48"/>
    <mergeCell ref="D50:D53"/>
    <mergeCell ref="D54:D55"/>
    <mergeCell ref="D59:D60"/>
    <mergeCell ref="D63:D64"/>
    <mergeCell ref="D66:D68"/>
    <mergeCell ref="D72:D73"/>
    <mergeCell ref="D76:D77"/>
    <mergeCell ref="D79:D80"/>
    <mergeCell ref="D93:D94"/>
    <mergeCell ref="D96:D97"/>
    <mergeCell ref="D99:D104"/>
    <mergeCell ref="D81:O81"/>
    <mergeCell ref="E84:P84"/>
    <mergeCell ref="D85:O85"/>
    <mergeCell ref="E87:O87"/>
    <mergeCell ref="E13:E19"/>
    <mergeCell ref="E20:E21"/>
    <mergeCell ref="E30:E31"/>
    <mergeCell ref="E32:E33"/>
    <mergeCell ref="E47:E48"/>
    <mergeCell ref="E50:E53"/>
    <mergeCell ref="E59:E60"/>
    <mergeCell ref="E66:E68"/>
    <mergeCell ref="E79:E80"/>
    <mergeCell ref="E96:E97"/>
    <mergeCell ref="E121:E122"/>
    <mergeCell ref="E146:E147"/>
    <mergeCell ref="E156:E157"/>
    <mergeCell ref="E160:E163"/>
    <mergeCell ref="E76:P77"/>
    <mergeCell ref="D153:O153"/>
    <mergeCell ref="E158:O158"/>
    <mergeCell ref="D159:O159"/>
    <mergeCell ref="D88:O88"/>
    <mergeCell ref="G96:G97"/>
    <mergeCell ref="H79:H80"/>
    <mergeCell ref="H96:H97"/>
    <mergeCell ref="I79:I80"/>
    <mergeCell ref="I96:I97"/>
    <mergeCell ref="P79:P80"/>
    <mergeCell ref="P96:P97"/>
    <mergeCell ref="E2:P3"/>
    <mergeCell ref="A2:C4"/>
    <mergeCell ref="A45:C46"/>
    <mergeCell ref="A76:C78"/>
    <mergeCell ref="E143:P144"/>
    <mergeCell ref="A143:C145"/>
    <mergeCell ref="A93:C95"/>
    <mergeCell ref="E93:P94"/>
    <mergeCell ref="D141:D142"/>
    <mergeCell ref="D143:D144"/>
    <mergeCell ref="C5:C6"/>
    <mergeCell ref="C47:C48"/>
    <mergeCell ref="C79:C80"/>
    <mergeCell ref="C96:C97"/>
    <mergeCell ref="A5:A6"/>
    <mergeCell ref="A47:A48"/>
    <mergeCell ref="A79:A80"/>
    <mergeCell ref="A96:A97"/>
    <mergeCell ref="E95:P95"/>
    <mergeCell ref="J96:O96"/>
    <mergeCell ref="D98:O98"/>
    <mergeCell ref="F79:F80"/>
    <mergeCell ref="F96:F97"/>
    <mergeCell ref="G79:G80"/>
  </mergeCells>
  <pageMargins left="0.25" right="0.25" top="0.75" bottom="0.75" header="0.3" footer="0.3"/>
  <pageSetup paperSize="9" scale="48" fitToHeight="0" orientation="landscape" r:id="rId1"/>
  <headerFooter>
    <oddFooter>&amp;CPage &amp;P of &amp;N</oddFooter>
  </headerFooter>
  <rowBreaks count="30" manualBreakCount="30">
    <brk id="15" max="16383" man="1"/>
    <brk id="19" max="16383" man="1"/>
    <brk id="22" max="16383" man="1"/>
    <brk id="31" max="16383" man="1"/>
    <brk id="33" max="16383" man="1"/>
    <brk id="36" max="16383" man="1"/>
    <brk id="44" max="16383" man="1"/>
    <brk id="57" max="16383" man="1"/>
    <brk id="60" max="16383" man="1"/>
    <brk id="64" max="16383" man="1"/>
    <brk id="69" max="16383" man="1"/>
    <brk id="75" max="16383" man="1"/>
    <brk id="83" max="16383" man="1"/>
    <brk id="86" max="16383" man="1"/>
    <brk id="92" max="16383" man="1"/>
    <brk id="102" max="16383" man="1"/>
    <brk id="104" max="16383" man="1"/>
    <brk id="109" max="16383" man="1"/>
    <brk id="112" max="16383" man="1"/>
    <brk id="117" max="16383" man="1"/>
    <brk id="124" max="16383" man="1"/>
    <brk id="126" max="16383" man="1"/>
    <brk id="130" max="16383" man="1"/>
    <brk id="137" max="16383" man="1"/>
    <brk id="142" max="16383" man="1"/>
    <brk id="150" max="15" man="1"/>
    <brk id="152" max="16383" man="1"/>
    <brk id="157" max="16383" man="1"/>
    <brk id="163" max="16383" man="1"/>
    <brk id="169"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6FF"/>
    <pageSetUpPr fitToPage="1"/>
  </sheetPr>
  <dimension ref="A1:S62"/>
  <sheetViews>
    <sheetView view="pageBreakPreview" topLeftCell="A22" zoomScale="70" zoomScaleNormal="70" workbookViewId="0">
      <selection activeCell="H46" sqref="H46"/>
    </sheetView>
  </sheetViews>
  <sheetFormatPr defaultColWidth="13.125" defaultRowHeight="18"/>
  <cols>
    <col min="1" max="1" width="9.375" style="611" customWidth="1"/>
    <col min="2" max="2" width="9.375" style="612" customWidth="1"/>
    <col min="3" max="3" width="9.375" style="4" customWidth="1"/>
    <col min="4" max="4" width="26.375" style="486" customWidth="1"/>
    <col min="5" max="5" width="20.875" style="486" customWidth="1"/>
    <col min="6" max="6" width="25.375" style="486" customWidth="1"/>
    <col min="7" max="7" width="27.625" style="486" customWidth="1"/>
    <col min="8" max="9" width="32.875" style="486" customWidth="1"/>
    <col min="10" max="15" width="9.75" style="486" customWidth="1"/>
    <col min="16" max="16" width="24" style="613" customWidth="1"/>
    <col min="17" max="17" width="9.375" style="611" hidden="1" customWidth="1"/>
    <col min="18" max="18" width="9.375" style="612" hidden="1" customWidth="1"/>
    <col min="19" max="19" width="9.375" style="4" hidden="1" customWidth="1"/>
    <col min="20" max="33" width="8.375" style="486" customWidth="1"/>
    <col min="34" max="16384" width="13.125" style="486"/>
  </cols>
  <sheetData>
    <row r="1" spans="1:19" s="86" customFormat="1" ht="51" customHeight="1">
      <c r="D1" s="1031" t="s">
        <v>518</v>
      </c>
      <c r="E1" s="1032"/>
      <c r="F1" s="1032"/>
      <c r="G1" s="1032"/>
      <c r="H1" s="1032"/>
      <c r="I1" s="1032"/>
      <c r="J1" s="1032"/>
      <c r="K1" s="1032"/>
      <c r="L1" s="1032"/>
      <c r="M1" s="1032"/>
      <c r="N1" s="1032"/>
      <c r="O1" s="1032"/>
      <c r="P1" s="1032"/>
      <c r="Q1" s="1032"/>
      <c r="R1" s="1032"/>
      <c r="S1" s="1033"/>
    </row>
    <row r="2" spans="1:19" s="86" customFormat="1" ht="26.25">
      <c r="D2" s="9" t="s">
        <v>519</v>
      </c>
      <c r="E2" s="1015" t="s">
        <v>520</v>
      </c>
      <c r="F2" s="1015"/>
      <c r="G2" s="1015"/>
      <c r="H2" s="1015"/>
      <c r="I2" s="1015"/>
      <c r="J2" s="1015"/>
      <c r="K2" s="1015"/>
      <c r="L2" s="1015"/>
      <c r="M2" s="1015"/>
      <c r="N2" s="1015"/>
      <c r="O2" s="1015"/>
      <c r="P2" s="1015"/>
      <c r="Q2" s="1015"/>
      <c r="R2" s="1015"/>
      <c r="S2" s="1016"/>
    </row>
    <row r="3" spans="1:19" s="86" customFormat="1" ht="26.25">
      <c r="D3" s="6" t="s">
        <v>521</v>
      </c>
      <c r="E3" s="1025" t="s">
        <v>522</v>
      </c>
      <c r="F3" s="1026"/>
      <c r="G3" s="1026"/>
      <c r="H3" s="1026"/>
      <c r="I3" s="1026"/>
      <c r="J3" s="1026"/>
      <c r="K3" s="1026"/>
      <c r="L3" s="1026"/>
      <c r="M3" s="1026"/>
      <c r="N3" s="1026"/>
      <c r="O3" s="1026"/>
      <c r="P3" s="1026"/>
      <c r="Q3" s="1026"/>
      <c r="R3" s="1026"/>
      <c r="S3" s="1027"/>
    </row>
    <row r="4" spans="1:19" s="86" customFormat="1" ht="26.25">
      <c r="D4" s="9"/>
      <c r="E4" s="1014" t="s">
        <v>523</v>
      </c>
      <c r="F4" s="1015"/>
      <c r="G4" s="1015"/>
      <c r="H4" s="1015"/>
      <c r="I4" s="1015"/>
      <c r="J4" s="1015"/>
      <c r="K4" s="1015"/>
      <c r="L4" s="1015"/>
      <c r="M4" s="1015"/>
      <c r="N4" s="1015"/>
      <c r="O4" s="1015"/>
      <c r="P4" s="1015"/>
      <c r="Q4" s="1015"/>
      <c r="R4" s="1015"/>
      <c r="S4" s="1016"/>
    </row>
    <row r="5" spans="1:19" s="86" customFormat="1" ht="26.25">
      <c r="D5" s="9"/>
      <c r="E5" s="1025" t="s">
        <v>524</v>
      </c>
      <c r="F5" s="1026"/>
      <c r="G5" s="1026"/>
      <c r="H5" s="1026"/>
      <c r="I5" s="1026"/>
      <c r="J5" s="1026"/>
      <c r="K5" s="1026"/>
      <c r="L5" s="1026"/>
      <c r="M5" s="1026"/>
      <c r="N5" s="1026"/>
      <c r="O5" s="1026"/>
      <c r="P5" s="1026"/>
      <c r="Q5" s="1026"/>
      <c r="R5" s="1026"/>
      <c r="S5" s="1027"/>
    </row>
    <row r="6" spans="1:19" s="86" customFormat="1" ht="26.25">
      <c r="D6" s="9"/>
      <c r="E6" s="1025" t="s">
        <v>525</v>
      </c>
      <c r="F6" s="1026"/>
      <c r="G6" s="1026"/>
      <c r="H6" s="1026"/>
      <c r="I6" s="1026"/>
      <c r="J6" s="1026"/>
      <c r="K6" s="1026"/>
      <c r="L6" s="1026"/>
      <c r="M6" s="1026"/>
      <c r="N6" s="1026"/>
      <c r="O6" s="1026"/>
      <c r="P6" s="1026"/>
      <c r="Q6" s="1026"/>
      <c r="R6" s="1026"/>
      <c r="S6" s="1027"/>
    </row>
    <row r="7" spans="1:19" s="86" customFormat="1" ht="26.25">
      <c r="A7" s="614"/>
      <c r="B7" s="555"/>
      <c r="C7" s="149"/>
      <c r="D7" s="9"/>
      <c r="E7" s="92"/>
      <c r="F7" s="92"/>
      <c r="G7" s="1"/>
      <c r="H7" s="2"/>
      <c r="I7" s="2"/>
      <c r="J7" s="2"/>
      <c r="K7" s="2"/>
      <c r="L7" s="2"/>
      <c r="M7" s="2"/>
      <c r="N7" s="2"/>
      <c r="O7" s="2"/>
      <c r="P7" s="2"/>
      <c r="Q7" s="614"/>
      <c r="R7" s="555"/>
      <c r="S7" s="149"/>
    </row>
    <row r="8" spans="1:19" s="86" customFormat="1" ht="26.25">
      <c r="D8" s="11" t="s">
        <v>526</v>
      </c>
      <c r="E8" s="1015" t="s">
        <v>527</v>
      </c>
      <c r="F8" s="1015"/>
      <c r="G8" s="1015"/>
      <c r="H8" s="1015"/>
      <c r="I8" s="1015"/>
      <c r="J8" s="1015"/>
      <c r="K8" s="1015"/>
      <c r="L8" s="1015"/>
      <c r="M8" s="1015"/>
      <c r="N8" s="1015"/>
      <c r="O8" s="1015"/>
      <c r="P8" s="1015"/>
      <c r="Q8" s="1015"/>
      <c r="R8" s="1015"/>
      <c r="S8" s="1016"/>
    </row>
    <row r="9" spans="1:19" s="86" customFormat="1" ht="26.25">
      <c r="D9" s="9"/>
      <c r="E9" s="1026" t="s">
        <v>528</v>
      </c>
      <c r="F9" s="1026"/>
      <c r="G9" s="1026"/>
      <c r="H9" s="1026"/>
      <c r="I9" s="1026"/>
      <c r="J9" s="1026"/>
      <c r="K9" s="1026"/>
      <c r="L9" s="1026"/>
      <c r="M9" s="1026"/>
      <c r="N9" s="1026"/>
      <c r="O9" s="1026"/>
      <c r="P9" s="1026"/>
      <c r="Q9" s="1026"/>
      <c r="R9" s="1026"/>
      <c r="S9" s="1027"/>
    </row>
    <row r="10" spans="1:19" s="86" customFormat="1" ht="26.25">
      <c r="D10" s="9"/>
      <c r="E10" s="1015" t="s">
        <v>529</v>
      </c>
      <c r="F10" s="1015"/>
      <c r="G10" s="1015"/>
      <c r="H10" s="1015"/>
      <c r="I10" s="1015"/>
      <c r="J10" s="1015"/>
      <c r="K10" s="1015"/>
      <c r="L10" s="1015"/>
      <c r="M10" s="1015"/>
      <c r="N10" s="1015"/>
      <c r="O10" s="1015"/>
      <c r="P10" s="1015"/>
      <c r="Q10" s="1015"/>
      <c r="R10" s="1015"/>
      <c r="S10" s="1016"/>
    </row>
    <row r="11" spans="1:19" s="86" customFormat="1" ht="26.25">
      <c r="D11" s="9"/>
      <c r="E11" s="1028" t="s">
        <v>530</v>
      </c>
      <c r="F11" s="1029"/>
      <c r="G11" s="1029"/>
      <c r="H11" s="1029"/>
      <c r="I11" s="1029"/>
      <c r="J11" s="1029"/>
      <c r="K11" s="1029"/>
      <c r="L11" s="1029"/>
      <c r="M11" s="1029"/>
      <c r="N11" s="1029"/>
      <c r="O11" s="1029"/>
      <c r="P11" s="1029"/>
      <c r="Q11" s="1029"/>
      <c r="R11" s="1029"/>
      <c r="S11" s="1030"/>
    </row>
    <row r="12" spans="1:19" s="86" customFormat="1" ht="26.25">
      <c r="A12" s="614"/>
      <c r="B12" s="555"/>
      <c r="C12" s="149"/>
      <c r="D12" s="9"/>
      <c r="E12" s="92"/>
      <c r="F12" s="92"/>
      <c r="G12" s="2"/>
      <c r="H12" s="2"/>
      <c r="I12" s="2"/>
      <c r="J12" s="2"/>
      <c r="K12" s="2"/>
      <c r="L12" s="2"/>
      <c r="M12" s="2"/>
      <c r="N12" s="2"/>
      <c r="O12" s="2"/>
      <c r="P12" s="2"/>
      <c r="Q12" s="614"/>
      <c r="R12" s="555"/>
      <c r="S12" s="149"/>
    </row>
    <row r="13" spans="1:19" s="86" customFormat="1" ht="26.25">
      <c r="D13" s="9" t="s">
        <v>531</v>
      </c>
      <c r="E13" s="1014" t="s">
        <v>532</v>
      </c>
      <c r="F13" s="1015"/>
      <c r="G13" s="1015"/>
      <c r="H13" s="1015"/>
      <c r="I13" s="1015"/>
      <c r="J13" s="1015"/>
      <c r="K13" s="1015"/>
      <c r="L13" s="1015"/>
      <c r="M13" s="1015"/>
      <c r="N13" s="1015"/>
      <c r="O13" s="1015"/>
      <c r="P13" s="1015"/>
      <c r="Q13" s="1015"/>
      <c r="R13" s="1015"/>
      <c r="S13" s="1016"/>
    </row>
    <row r="14" spans="1:19" s="86" customFormat="1" ht="26.25">
      <c r="D14" s="9"/>
      <c r="E14" s="1014" t="s">
        <v>533</v>
      </c>
      <c r="F14" s="1015"/>
      <c r="G14" s="1015"/>
      <c r="H14" s="1015"/>
      <c r="I14" s="1015"/>
      <c r="J14" s="1015"/>
      <c r="K14" s="1015"/>
      <c r="L14" s="1015"/>
      <c r="M14" s="1015"/>
      <c r="N14" s="1015"/>
      <c r="O14" s="1015"/>
      <c r="P14" s="1015"/>
      <c r="Q14" s="1015"/>
      <c r="R14" s="1015"/>
      <c r="S14" s="1016"/>
    </row>
    <row r="15" spans="1:19" s="86" customFormat="1" ht="26.25">
      <c r="A15" s="615"/>
      <c r="B15" s="555"/>
      <c r="C15" s="348"/>
      <c r="D15" s="12"/>
      <c r="E15" s="1"/>
      <c r="F15" s="1"/>
      <c r="G15" s="1"/>
      <c r="H15" s="489"/>
      <c r="I15" s="489"/>
      <c r="J15" s="489"/>
      <c r="K15" s="489"/>
      <c r="L15" s="489"/>
      <c r="M15" s="489"/>
      <c r="N15" s="489"/>
      <c r="O15" s="489"/>
      <c r="P15" s="10"/>
      <c r="Q15" s="615"/>
      <c r="R15" s="555"/>
      <c r="S15" s="348"/>
    </row>
    <row r="16" spans="1:19" s="86" customFormat="1" ht="20.25">
      <c r="A16" s="805" t="s">
        <v>0</v>
      </c>
      <c r="B16" s="806"/>
      <c r="C16" s="807"/>
      <c r="D16" s="1022" t="s">
        <v>1</v>
      </c>
      <c r="E16" s="988" t="s">
        <v>2</v>
      </c>
      <c r="F16" s="989"/>
      <c r="G16" s="989"/>
      <c r="H16" s="989"/>
      <c r="I16" s="989"/>
      <c r="J16" s="989"/>
      <c r="K16" s="989"/>
      <c r="L16" s="989"/>
      <c r="M16" s="989"/>
      <c r="N16" s="989"/>
      <c r="O16" s="989"/>
      <c r="P16" s="990"/>
      <c r="Q16" s="805" t="s">
        <v>0</v>
      </c>
      <c r="R16" s="806"/>
      <c r="S16" s="807"/>
    </row>
    <row r="17" spans="1:19" s="86" customFormat="1" ht="32.25" customHeight="1">
      <c r="A17" s="808"/>
      <c r="B17" s="809"/>
      <c r="C17" s="810"/>
      <c r="D17" s="1009"/>
      <c r="E17" s="991"/>
      <c r="F17" s="992"/>
      <c r="G17" s="992"/>
      <c r="H17" s="992"/>
      <c r="I17" s="992"/>
      <c r="J17" s="992"/>
      <c r="K17" s="992"/>
      <c r="L17" s="992"/>
      <c r="M17" s="992"/>
      <c r="N17" s="992"/>
      <c r="O17" s="992"/>
      <c r="P17" s="993"/>
      <c r="Q17" s="808"/>
      <c r="R17" s="809"/>
      <c r="S17" s="810"/>
    </row>
    <row r="18" spans="1:19" s="86" customFormat="1" ht="26.25">
      <c r="A18" s="808"/>
      <c r="B18" s="809"/>
      <c r="C18" s="810"/>
      <c r="D18" s="616" t="s">
        <v>3</v>
      </c>
      <c r="E18" s="1017" t="s">
        <v>4</v>
      </c>
      <c r="F18" s="1004"/>
      <c r="G18" s="1004"/>
      <c r="H18" s="1004"/>
      <c r="I18" s="1004"/>
      <c r="J18" s="1004"/>
      <c r="K18" s="1004"/>
      <c r="L18" s="1004"/>
      <c r="M18" s="1004"/>
      <c r="N18" s="1004"/>
      <c r="O18" s="1005"/>
      <c r="P18" s="666"/>
      <c r="Q18" s="808"/>
      <c r="R18" s="809"/>
      <c r="S18" s="810"/>
    </row>
    <row r="19" spans="1:19" s="86" customFormat="1" ht="26.25">
      <c r="A19" s="847" t="s">
        <v>5</v>
      </c>
      <c r="B19" s="917" t="s">
        <v>6</v>
      </c>
      <c r="C19" s="841" t="s">
        <v>7</v>
      </c>
      <c r="D19" s="1009" t="s">
        <v>8</v>
      </c>
      <c r="E19" s="1012" t="s">
        <v>9</v>
      </c>
      <c r="F19" s="995" t="s">
        <v>10</v>
      </c>
      <c r="G19" s="1023" t="s">
        <v>11</v>
      </c>
      <c r="H19" s="995" t="s">
        <v>12</v>
      </c>
      <c r="I19" s="997" t="s">
        <v>13</v>
      </c>
      <c r="J19" s="995" t="s">
        <v>14</v>
      </c>
      <c r="K19" s="995"/>
      <c r="L19" s="995"/>
      <c r="M19" s="995"/>
      <c r="N19" s="995"/>
      <c r="O19" s="1018"/>
      <c r="P19" s="999" t="s">
        <v>15</v>
      </c>
      <c r="Q19" s="847" t="s">
        <v>5</v>
      </c>
      <c r="R19" s="917" t="s">
        <v>6</v>
      </c>
      <c r="S19" s="841" t="s">
        <v>7</v>
      </c>
    </row>
    <row r="20" spans="1:19" s="86" customFormat="1" ht="26.25">
      <c r="A20" s="848"/>
      <c r="B20" s="918"/>
      <c r="C20" s="842"/>
      <c r="D20" s="1010"/>
      <c r="E20" s="1013"/>
      <c r="F20" s="996"/>
      <c r="G20" s="1024"/>
      <c r="H20" s="996"/>
      <c r="I20" s="998"/>
      <c r="J20" s="617">
        <v>65</v>
      </c>
      <c r="K20" s="617">
        <v>66</v>
      </c>
      <c r="L20" s="617">
        <v>67</v>
      </c>
      <c r="M20" s="617">
        <v>68</v>
      </c>
      <c r="N20" s="667">
        <v>69</v>
      </c>
      <c r="O20" s="668">
        <v>70</v>
      </c>
      <c r="P20" s="1000"/>
      <c r="Q20" s="848"/>
      <c r="R20" s="918"/>
      <c r="S20" s="842"/>
    </row>
    <row r="21" spans="1:19" s="86" customFormat="1" ht="26.25">
      <c r="A21" s="618"/>
      <c r="B21" s="619"/>
      <c r="C21" s="620"/>
      <c r="D21" s="1019" t="s">
        <v>16</v>
      </c>
      <c r="E21" s="1020"/>
      <c r="F21" s="1020"/>
      <c r="G21" s="1020"/>
      <c r="H21" s="1020"/>
      <c r="I21" s="1020"/>
      <c r="J21" s="1020"/>
      <c r="K21" s="1020"/>
      <c r="L21" s="1020"/>
      <c r="M21" s="1020"/>
      <c r="N21" s="1020"/>
      <c r="O21" s="1021"/>
      <c r="P21" s="669"/>
      <c r="Q21" s="618"/>
      <c r="R21" s="619"/>
      <c r="S21" s="620"/>
    </row>
    <row r="22" spans="1:19" s="86" customFormat="1" ht="162.75" customHeight="1">
      <c r="A22" s="215" t="s">
        <v>17</v>
      </c>
      <c r="B22" s="621" t="s">
        <v>18</v>
      </c>
      <c r="C22" s="211" t="s">
        <v>19</v>
      </c>
      <c r="D22" s="622" t="s">
        <v>20</v>
      </c>
      <c r="E22" s="567" t="s">
        <v>534</v>
      </c>
      <c r="F22" s="29"/>
      <c r="G22" s="188" t="s">
        <v>535</v>
      </c>
      <c r="H22" s="623" t="s">
        <v>536</v>
      </c>
      <c r="I22" s="595"/>
      <c r="J22" s="18">
        <v>3</v>
      </c>
      <c r="K22" s="18">
        <v>6</v>
      </c>
      <c r="L22" s="18">
        <v>6</v>
      </c>
      <c r="M22" s="18">
        <v>6</v>
      </c>
      <c r="N22" s="18">
        <v>7</v>
      </c>
      <c r="O22" s="456">
        <v>8</v>
      </c>
      <c r="P22" s="208" t="s">
        <v>24</v>
      </c>
      <c r="Q22" s="215" t="s">
        <v>17</v>
      </c>
      <c r="R22" s="621" t="s">
        <v>18</v>
      </c>
      <c r="S22" s="211" t="s">
        <v>19</v>
      </c>
    </row>
    <row r="23" spans="1:19" s="86" customFormat="1" ht="131.25">
      <c r="A23" s="216" t="s">
        <v>25</v>
      </c>
      <c r="B23" s="621" t="s">
        <v>18</v>
      </c>
      <c r="C23" s="211" t="s">
        <v>19</v>
      </c>
      <c r="D23" s="624"/>
      <c r="E23" s="625" t="s">
        <v>26</v>
      </c>
      <c r="F23" s="21" t="s">
        <v>27</v>
      </c>
      <c r="G23" s="188" t="s">
        <v>28</v>
      </c>
      <c r="H23" s="623"/>
      <c r="I23" s="595" t="s">
        <v>537</v>
      </c>
      <c r="J23" s="18">
        <v>3</v>
      </c>
      <c r="K23" s="18">
        <v>0</v>
      </c>
      <c r="L23" s="18">
        <v>0</v>
      </c>
      <c r="M23" s="18">
        <v>0</v>
      </c>
      <c r="N23" s="18">
        <v>0</v>
      </c>
      <c r="O23" s="456">
        <v>1</v>
      </c>
      <c r="P23" s="208" t="s">
        <v>27</v>
      </c>
      <c r="Q23" s="216" t="s">
        <v>25</v>
      </c>
      <c r="R23" s="621" t="s">
        <v>18</v>
      </c>
      <c r="S23" s="211" t="s">
        <v>19</v>
      </c>
    </row>
    <row r="24" spans="1:19" s="86" customFormat="1" ht="105">
      <c r="A24" s="215" t="s">
        <v>25</v>
      </c>
      <c r="B24" s="621" t="s">
        <v>18</v>
      </c>
      <c r="C24" s="211" t="s">
        <v>19</v>
      </c>
      <c r="D24" s="626"/>
      <c r="E24" s="627" t="s">
        <v>30</v>
      </c>
      <c r="F24" s="21" t="s">
        <v>31</v>
      </c>
      <c r="G24" s="188" t="s">
        <v>32</v>
      </c>
      <c r="H24" s="623"/>
      <c r="I24" s="595" t="s">
        <v>538</v>
      </c>
      <c r="J24" s="18" t="s">
        <v>34</v>
      </c>
      <c r="K24" s="18" t="s">
        <v>34</v>
      </c>
      <c r="L24" s="18" t="s">
        <v>34</v>
      </c>
      <c r="M24" s="18" t="s">
        <v>34</v>
      </c>
      <c r="N24" s="18">
        <v>1</v>
      </c>
      <c r="O24" s="456">
        <v>0</v>
      </c>
      <c r="P24" s="208" t="s">
        <v>31</v>
      </c>
      <c r="Q24" s="215" t="s">
        <v>25</v>
      </c>
      <c r="R24" s="621" t="s">
        <v>18</v>
      </c>
      <c r="S24" s="211" t="s">
        <v>19</v>
      </c>
    </row>
    <row r="25" spans="1:19" s="86" customFormat="1" ht="288.75">
      <c r="A25" s="215" t="s">
        <v>35</v>
      </c>
      <c r="B25" s="621" t="s">
        <v>18</v>
      </c>
      <c r="C25" s="211" t="s">
        <v>19</v>
      </c>
      <c r="D25" s="628" t="s">
        <v>36</v>
      </c>
      <c r="E25" s="398" t="s">
        <v>37</v>
      </c>
      <c r="F25" s="427" t="s">
        <v>38</v>
      </c>
      <c r="G25" s="188" t="s">
        <v>539</v>
      </c>
      <c r="H25" s="629" t="s">
        <v>540</v>
      </c>
      <c r="I25" s="670"/>
      <c r="J25" s="18" t="s">
        <v>34</v>
      </c>
      <c r="K25" s="18" t="s">
        <v>34</v>
      </c>
      <c r="L25" s="18" t="s">
        <v>34</v>
      </c>
      <c r="M25" s="18">
        <v>1</v>
      </c>
      <c r="N25" s="18">
        <v>2</v>
      </c>
      <c r="O25" s="456">
        <v>3</v>
      </c>
      <c r="P25" s="671" t="s">
        <v>38</v>
      </c>
      <c r="Q25" s="215" t="s">
        <v>35</v>
      </c>
      <c r="R25" s="621" t="s">
        <v>18</v>
      </c>
      <c r="S25" s="211" t="s">
        <v>19</v>
      </c>
    </row>
    <row r="26" spans="1:19" s="86" customFormat="1" ht="262.5">
      <c r="A26" s="215" t="s">
        <v>41</v>
      </c>
      <c r="B26" s="621" t="s">
        <v>18</v>
      </c>
      <c r="C26" s="211" t="s">
        <v>19</v>
      </c>
      <c r="D26" s="624"/>
      <c r="E26" s="243" t="s">
        <v>30</v>
      </c>
      <c r="F26" s="19" t="s">
        <v>42</v>
      </c>
      <c r="G26" s="188" t="s">
        <v>541</v>
      </c>
      <c r="H26" s="630" t="s">
        <v>44</v>
      </c>
      <c r="I26" s="670"/>
      <c r="J26" s="18" t="s">
        <v>34</v>
      </c>
      <c r="K26" s="18" t="s">
        <v>34</v>
      </c>
      <c r="L26" s="18" t="s">
        <v>34</v>
      </c>
      <c r="M26" s="18" t="s">
        <v>34</v>
      </c>
      <c r="N26" s="18">
        <v>1</v>
      </c>
      <c r="O26" s="456">
        <v>1</v>
      </c>
      <c r="P26" s="671" t="s">
        <v>42</v>
      </c>
      <c r="Q26" s="215" t="s">
        <v>41</v>
      </c>
      <c r="R26" s="621" t="s">
        <v>18</v>
      </c>
      <c r="S26" s="211" t="s">
        <v>19</v>
      </c>
    </row>
    <row r="27" spans="1:19" s="86" customFormat="1" ht="315" customHeight="1">
      <c r="A27" s="215" t="s">
        <v>45</v>
      </c>
      <c r="B27" s="621" t="s">
        <v>46</v>
      </c>
      <c r="C27" s="211" t="s">
        <v>19</v>
      </c>
      <c r="D27" s="891" t="s">
        <v>47</v>
      </c>
      <c r="E27" s="882" t="s">
        <v>48</v>
      </c>
      <c r="F27" s="882" t="s">
        <v>49</v>
      </c>
      <c r="G27" s="21" t="s">
        <v>542</v>
      </c>
      <c r="H27" s="631" t="s">
        <v>543</v>
      </c>
      <c r="I27" s="380"/>
      <c r="J27" s="18" t="s">
        <v>34</v>
      </c>
      <c r="K27" s="18" t="s">
        <v>34</v>
      </c>
      <c r="L27" s="18" t="s">
        <v>34</v>
      </c>
      <c r="M27" s="18">
        <v>85</v>
      </c>
      <c r="N27" s="18">
        <v>90</v>
      </c>
      <c r="O27" s="456">
        <v>90</v>
      </c>
      <c r="P27" s="208" t="s">
        <v>49</v>
      </c>
      <c r="Q27" s="215" t="s">
        <v>45</v>
      </c>
      <c r="R27" s="621" t="s">
        <v>46</v>
      </c>
      <c r="S27" s="211" t="s">
        <v>19</v>
      </c>
    </row>
    <row r="28" spans="1:19" s="86" customFormat="1" ht="207.75" customHeight="1">
      <c r="A28" s="215" t="s">
        <v>45</v>
      </c>
      <c r="B28" s="621" t="s">
        <v>46</v>
      </c>
      <c r="C28" s="211" t="s">
        <v>19</v>
      </c>
      <c r="D28" s="892"/>
      <c r="E28" s="883"/>
      <c r="F28" s="883"/>
      <c r="G28" s="632" t="s">
        <v>52</v>
      </c>
      <c r="H28" s="631"/>
      <c r="I28" s="605" t="s">
        <v>53</v>
      </c>
      <c r="J28" s="18" t="s">
        <v>34</v>
      </c>
      <c r="K28" s="18" t="s">
        <v>34</v>
      </c>
      <c r="L28" s="18" t="s">
        <v>34</v>
      </c>
      <c r="M28" s="18">
        <v>50</v>
      </c>
      <c r="N28" s="18">
        <v>70</v>
      </c>
      <c r="O28" s="456">
        <v>90</v>
      </c>
      <c r="P28" s="208" t="s">
        <v>49</v>
      </c>
      <c r="Q28" s="215" t="s">
        <v>45</v>
      </c>
      <c r="R28" s="621" t="s">
        <v>46</v>
      </c>
      <c r="S28" s="211" t="s">
        <v>19</v>
      </c>
    </row>
    <row r="29" spans="1:19" s="86" customFormat="1" ht="236.25">
      <c r="A29" s="213"/>
      <c r="B29" s="621" t="s">
        <v>54</v>
      </c>
      <c r="C29" s="211" t="s">
        <v>19</v>
      </c>
      <c r="D29" s="892"/>
      <c r="E29" s="883"/>
      <c r="F29" s="883" t="s">
        <v>55</v>
      </c>
      <c r="G29" s="23" t="s">
        <v>56</v>
      </c>
      <c r="H29" s="633"/>
      <c r="I29" s="377" t="s">
        <v>544</v>
      </c>
      <c r="J29" s="18">
        <v>1</v>
      </c>
      <c r="K29" s="18">
        <v>1</v>
      </c>
      <c r="L29" s="18">
        <v>1</v>
      </c>
      <c r="M29" s="18">
        <v>1</v>
      </c>
      <c r="N29" s="18">
        <v>1</v>
      </c>
      <c r="O29" s="456">
        <v>1</v>
      </c>
      <c r="P29" s="208" t="s">
        <v>58</v>
      </c>
      <c r="Q29" s="213"/>
      <c r="R29" s="621" t="s">
        <v>54</v>
      </c>
      <c r="S29" s="211" t="s">
        <v>19</v>
      </c>
    </row>
    <row r="30" spans="1:19" s="86" customFormat="1" ht="131.25">
      <c r="A30" s="213"/>
      <c r="B30" s="621" t="s">
        <v>54</v>
      </c>
      <c r="C30" s="211" t="s">
        <v>19</v>
      </c>
      <c r="D30" s="892"/>
      <c r="E30" s="883"/>
      <c r="F30" s="883"/>
      <c r="G30" s="21" t="s">
        <v>59</v>
      </c>
      <c r="H30" s="633"/>
      <c r="I30" s="672" t="s">
        <v>60</v>
      </c>
      <c r="J30" s="18">
        <v>1</v>
      </c>
      <c r="K30" s="18">
        <v>1</v>
      </c>
      <c r="L30" s="18">
        <v>1</v>
      </c>
      <c r="M30" s="18">
        <v>1</v>
      </c>
      <c r="N30" s="18">
        <v>1</v>
      </c>
      <c r="O30" s="456">
        <v>1</v>
      </c>
      <c r="P30" s="208" t="s">
        <v>61</v>
      </c>
      <c r="Q30" s="213"/>
      <c r="R30" s="621" t="s">
        <v>54</v>
      </c>
      <c r="S30" s="211" t="s">
        <v>19</v>
      </c>
    </row>
    <row r="31" spans="1:19" s="86" customFormat="1" ht="236.25">
      <c r="A31" s="215"/>
      <c r="B31" s="621" t="s">
        <v>46</v>
      </c>
      <c r="C31" s="211" t="s">
        <v>19</v>
      </c>
      <c r="D31" s="892"/>
      <c r="E31" s="883"/>
      <c r="F31" s="883"/>
      <c r="G31" s="21" t="s">
        <v>62</v>
      </c>
      <c r="H31" s="633"/>
      <c r="I31" s="672" t="s">
        <v>63</v>
      </c>
      <c r="J31" s="18" t="s">
        <v>34</v>
      </c>
      <c r="K31" s="18" t="s">
        <v>64</v>
      </c>
      <c r="L31" s="18">
        <v>100</v>
      </c>
      <c r="M31" s="18">
        <v>100</v>
      </c>
      <c r="N31" s="18">
        <v>100</v>
      </c>
      <c r="O31" s="456">
        <v>100</v>
      </c>
      <c r="P31" s="208" t="s">
        <v>65</v>
      </c>
      <c r="Q31" s="215"/>
      <c r="R31" s="621" t="s">
        <v>46</v>
      </c>
      <c r="S31" s="211" t="s">
        <v>19</v>
      </c>
    </row>
    <row r="32" spans="1:19" s="86" customFormat="1" ht="262.5">
      <c r="A32" s="214"/>
      <c r="B32" s="621" t="s">
        <v>46</v>
      </c>
      <c r="C32" s="211" t="s">
        <v>19</v>
      </c>
      <c r="D32" s="892"/>
      <c r="E32" s="883"/>
      <c r="F32" s="883"/>
      <c r="G32" s="21" t="s">
        <v>66</v>
      </c>
      <c r="H32" s="631"/>
      <c r="I32" s="605" t="s">
        <v>67</v>
      </c>
      <c r="J32" s="18" t="s">
        <v>34</v>
      </c>
      <c r="K32" s="18" t="s">
        <v>34</v>
      </c>
      <c r="L32" s="18" t="s">
        <v>34</v>
      </c>
      <c r="M32" s="18">
        <v>80</v>
      </c>
      <c r="N32" s="18">
        <v>85</v>
      </c>
      <c r="O32" s="456">
        <v>90</v>
      </c>
      <c r="P32" s="208" t="s">
        <v>65</v>
      </c>
      <c r="Q32" s="214"/>
      <c r="R32" s="621" t="s">
        <v>46</v>
      </c>
      <c r="S32" s="211" t="s">
        <v>19</v>
      </c>
    </row>
    <row r="33" spans="1:19" s="86" customFormat="1" ht="150.75" customHeight="1">
      <c r="A33" s="214"/>
      <c r="B33" s="621" t="s">
        <v>46</v>
      </c>
      <c r="C33" s="211" t="s">
        <v>19</v>
      </c>
      <c r="D33" s="893"/>
      <c r="E33" s="884"/>
      <c r="F33" s="884"/>
      <c r="G33" s="21" t="s">
        <v>68</v>
      </c>
      <c r="H33" s="631"/>
      <c r="I33" s="605" t="s">
        <v>69</v>
      </c>
      <c r="J33" s="18" t="s">
        <v>34</v>
      </c>
      <c r="K33" s="18" t="s">
        <v>34</v>
      </c>
      <c r="L33" s="18" t="s">
        <v>34</v>
      </c>
      <c r="M33" s="18">
        <v>80</v>
      </c>
      <c r="N33" s="18">
        <v>85</v>
      </c>
      <c r="O33" s="456">
        <v>90</v>
      </c>
      <c r="P33" s="208" t="s">
        <v>70</v>
      </c>
      <c r="Q33" s="214"/>
      <c r="R33" s="621" t="s">
        <v>46</v>
      </c>
      <c r="S33" s="211" t="s">
        <v>19</v>
      </c>
    </row>
    <row r="34" spans="1:19" s="86" customFormat="1" ht="150" customHeight="1">
      <c r="A34" s="216"/>
      <c r="B34" s="621" t="s">
        <v>71</v>
      </c>
      <c r="C34" s="211" t="s">
        <v>19</v>
      </c>
      <c r="D34" s="1011" t="s">
        <v>72</v>
      </c>
      <c r="E34" s="885" t="s">
        <v>73</v>
      </c>
      <c r="F34" s="885" t="s">
        <v>74</v>
      </c>
      <c r="G34" s="994" t="s">
        <v>75</v>
      </c>
      <c r="H34" s="633" t="s">
        <v>545</v>
      </c>
      <c r="I34" s="377"/>
      <c r="J34" s="18" t="s">
        <v>34</v>
      </c>
      <c r="K34" s="18" t="s">
        <v>77</v>
      </c>
      <c r="L34" s="18" t="s">
        <v>78</v>
      </c>
      <c r="M34" s="18" t="s">
        <v>79</v>
      </c>
      <c r="N34" s="18" t="s">
        <v>80</v>
      </c>
      <c r="O34" s="456" t="s">
        <v>81</v>
      </c>
      <c r="P34" s="208" t="s">
        <v>70</v>
      </c>
      <c r="Q34" s="216"/>
      <c r="R34" s="621" t="s">
        <v>71</v>
      </c>
      <c r="S34" s="211" t="s">
        <v>19</v>
      </c>
    </row>
    <row r="35" spans="1:19" s="86" customFormat="1" ht="152.25" customHeight="1">
      <c r="A35" s="216"/>
      <c r="B35" s="621" t="s">
        <v>71</v>
      </c>
      <c r="C35" s="211" t="s">
        <v>19</v>
      </c>
      <c r="D35" s="1011"/>
      <c r="E35" s="885"/>
      <c r="F35" s="885"/>
      <c r="G35" s="994"/>
      <c r="H35" s="633"/>
      <c r="I35" s="377" t="s">
        <v>546</v>
      </c>
      <c r="J35" s="18" t="s">
        <v>34</v>
      </c>
      <c r="K35" s="18" t="s">
        <v>34</v>
      </c>
      <c r="L35" s="18">
        <v>2</v>
      </c>
      <c r="M35" s="18">
        <v>2</v>
      </c>
      <c r="N35" s="18">
        <v>3</v>
      </c>
      <c r="O35" s="456">
        <v>3</v>
      </c>
      <c r="P35" s="208" t="s">
        <v>70</v>
      </c>
      <c r="Q35" s="216"/>
      <c r="R35" s="621" t="s">
        <v>71</v>
      </c>
      <c r="S35" s="211" t="s">
        <v>19</v>
      </c>
    </row>
    <row r="36" spans="1:19" s="86" customFormat="1" ht="409.5">
      <c r="A36" s="634"/>
      <c r="B36" s="621" t="s">
        <v>71</v>
      </c>
      <c r="C36" s="211" t="s">
        <v>19</v>
      </c>
      <c r="D36" s="24" t="s">
        <v>83</v>
      </c>
      <c r="E36" s="21" t="s">
        <v>84</v>
      </c>
      <c r="F36" s="21" t="s">
        <v>85</v>
      </c>
      <c r="G36" s="23" t="s">
        <v>86</v>
      </c>
      <c r="H36" s="633" t="s">
        <v>547</v>
      </c>
      <c r="I36" s="377"/>
      <c r="J36" s="18" t="s">
        <v>34</v>
      </c>
      <c r="K36" s="18">
        <v>1</v>
      </c>
      <c r="L36" s="18">
        <v>2</v>
      </c>
      <c r="M36" s="45">
        <v>3</v>
      </c>
      <c r="N36" s="45">
        <v>4</v>
      </c>
      <c r="O36" s="673">
        <v>5</v>
      </c>
      <c r="P36" s="671" t="s">
        <v>85</v>
      </c>
      <c r="Q36" s="634"/>
      <c r="R36" s="621" t="s">
        <v>71</v>
      </c>
      <c r="S36" s="211" t="s">
        <v>19</v>
      </c>
    </row>
    <row r="37" spans="1:19" s="86" customFormat="1" ht="26.25">
      <c r="A37" s="634"/>
      <c r="B37" s="635"/>
      <c r="C37" s="207"/>
      <c r="D37" s="1001" t="s">
        <v>88</v>
      </c>
      <c r="E37" s="1002"/>
      <c r="F37" s="1002"/>
      <c r="G37" s="1002"/>
      <c r="H37" s="1002"/>
      <c r="I37" s="1002"/>
      <c r="J37" s="1002"/>
      <c r="K37" s="1002"/>
      <c r="L37" s="1002"/>
      <c r="M37" s="1002"/>
      <c r="N37" s="1002"/>
      <c r="O37" s="1003"/>
      <c r="P37" s="204"/>
      <c r="Q37" s="634"/>
      <c r="R37" s="635"/>
      <c r="S37" s="207"/>
    </row>
    <row r="38" spans="1:19" s="86" customFormat="1" ht="183.75" customHeight="1">
      <c r="A38" s="214"/>
      <c r="B38" s="621" t="s">
        <v>89</v>
      </c>
      <c r="C38" s="211" t="s">
        <v>19</v>
      </c>
      <c r="D38" s="891" t="s">
        <v>90</v>
      </c>
      <c r="E38" s="367" t="s">
        <v>91</v>
      </c>
      <c r="F38" s="188" t="s">
        <v>92</v>
      </c>
      <c r="G38" s="23" t="s">
        <v>93</v>
      </c>
      <c r="H38" s="631" t="s">
        <v>548</v>
      </c>
      <c r="I38" s="380"/>
      <c r="J38" s="18" t="s">
        <v>34</v>
      </c>
      <c r="K38" s="18" t="s">
        <v>34</v>
      </c>
      <c r="L38" s="18">
        <v>80</v>
      </c>
      <c r="M38" s="18">
        <v>80</v>
      </c>
      <c r="N38" s="18">
        <v>90</v>
      </c>
      <c r="O38" s="456">
        <v>90</v>
      </c>
      <c r="P38" s="674" t="s">
        <v>92</v>
      </c>
      <c r="Q38" s="214"/>
      <c r="R38" s="621" t="s">
        <v>89</v>
      </c>
      <c r="S38" s="211" t="s">
        <v>19</v>
      </c>
    </row>
    <row r="39" spans="1:19" s="86" customFormat="1" ht="157.5" customHeight="1">
      <c r="A39" s="214"/>
      <c r="B39" s="621" t="s">
        <v>89</v>
      </c>
      <c r="C39" s="211" t="s">
        <v>19</v>
      </c>
      <c r="D39" s="892"/>
      <c r="E39" s="367" t="s">
        <v>95</v>
      </c>
      <c r="F39" s="208" t="s">
        <v>96</v>
      </c>
      <c r="G39" s="23" t="s">
        <v>97</v>
      </c>
      <c r="H39" s="631"/>
      <c r="I39" s="380" t="s">
        <v>549</v>
      </c>
      <c r="J39" s="18" t="s">
        <v>34</v>
      </c>
      <c r="K39" s="18" t="s">
        <v>34</v>
      </c>
      <c r="L39" s="18">
        <v>80</v>
      </c>
      <c r="M39" s="18">
        <v>80</v>
      </c>
      <c r="N39" s="18">
        <v>90</v>
      </c>
      <c r="O39" s="456">
        <v>90</v>
      </c>
      <c r="P39" s="208" t="s">
        <v>96</v>
      </c>
      <c r="Q39" s="214"/>
      <c r="R39" s="621" t="s">
        <v>89</v>
      </c>
      <c r="S39" s="211" t="s">
        <v>19</v>
      </c>
    </row>
    <row r="40" spans="1:19" s="86" customFormat="1" ht="131.25">
      <c r="A40" s="214"/>
      <c r="B40" s="621" t="s">
        <v>89</v>
      </c>
      <c r="C40" s="211" t="s">
        <v>19</v>
      </c>
      <c r="D40" s="892"/>
      <c r="E40" s="636" t="s">
        <v>99</v>
      </c>
      <c r="F40" s="567" t="s">
        <v>100</v>
      </c>
      <c r="G40" s="23" t="s">
        <v>101</v>
      </c>
      <c r="H40" s="631"/>
      <c r="I40" s="605" t="s">
        <v>102</v>
      </c>
      <c r="J40" s="18" t="s">
        <v>34</v>
      </c>
      <c r="K40" s="18" t="s">
        <v>34</v>
      </c>
      <c r="L40" s="18">
        <v>80</v>
      </c>
      <c r="M40" s="18">
        <v>80</v>
      </c>
      <c r="N40" s="18">
        <v>90</v>
      </c>
      <c r="O40" s="456">
        <v>90</v>
      </c>
      <c r="P40" s="208" t="s">
        <v>100</v>
      </c>
      <c r="Q40" s="214"/>
      <c r="R40" s="621" t="s">
        <v>89</v>
      </c>
      <c r="S40" s="211" t="s">
        <v>19</v>
      </c>
    </row>
    <row r="41" spans="1:19" s="86" customFormat="1" ht="131.25">
      <c r="A41" s="214"/>
      <c r="B41" s="621" t="s">
        <v>89</v>
      </c>
      <c r="C41" s="211" t="s">
        <v>19</v>
      </c>
      <c r="D41" s="892"/>
      <c r="E41" s="637"/>
      <c r="F41" s="625"/>
      <c r="G41" s="23"/>
      <c r="H41" s="631"/>
      <c r="I41" s="605" t="s">
        <v>103</v>
      </c>
      <c r="J41" s="18" t="s">
        <v>34</v>
      </c>
      <c r="K41" s="18" t="s">
        <v>34</v>
      </c>
      <c r="L41" s="18">
        <v>90</v>
      </c>
      <c r="M41" s="18">
        <v>92</v>
      </c>
      <c r="N41" s="18">
        <v>94</v>
      </c>
      <c r="O41" s="456">
        <v>96</v>
      </c>
      <c r="P41" s="208" t="s">
        <v>100</v>
      </c>
      <c r="Q41" s="214"/>
      <c r="R41" s="621" t="s">
        <v>89</v>
      </c>
      <c r="S41" s="211" t="s">
        <v>19</v>
      </c>
    </row>
    <row r="42" spans="1:19" s="86" customFormat="1" ht="131.25">
      <c r="A42" s="214"/>
      <c r="B42" s="621" t="s">
        <v>89</v>
      </c>
      <c r="C42" s="211" t="s">
        <v>19</v>
      </c>
      <c r="D42" s="892"/>
      <c r="E42" s="637"/>
      <c r="F42" s="625"/>
      <c r="G42" s="23"/>
      <c r="H42" s="631"/>
      <c r="I42" s="605" t="s">
        <v>104</v>
      </c>
      <c r="J42" s="18" t="s">
        <v>34</v>
      </c>
      <c r="K42" s="18" t="s">
        <v>34</v>
      </c>
      <c r="L42" s="18">
        <v>90</v>
      </c>
      <c r="M42" s="18">
        <v>92</v>
      </c>
      <c r="N42" s="18">
        <v>94</v>
      </c>
      <c r="O42" s="456">
        <v>96</v>
      </c>
      <c r="P42" s="208" t="s">
        <v>100</v>
      </c>
      <c r="Q42" s="214"/>
      <c r="R42" s="621" t="s">
        <v>89</v>
      </c>
      <c r="S42" s="211" t="s">
        <v>19</v>
      </c>
    </row>
    <row r="43" spans="1:19" s="86" customFormat="1" ht="236.25">
      <c r="A43" s="214"/>
      <c r="B43" s="621" t="s">
        <v>89</v>
      </c>
      <c r="C43" s="211" t="s">
        <v>19</v>
      </c>
      <c r="D43" s="893"/>
      <c r="E43" s="367" t="s">
        <v>105</v>
      </c>
      <c r="F43" s="188" t="s">
        <v>106</v>
      </c>
      <c r="G43" s="21" t="s">
        <v>107</v>
      </c>
      <c r="H43" s="631"/>
      <c r="I43" s="605" t="s">
        <v>108</v>
      </c>
      <c r="J43" s="18">
        <v>100</v>
      </c>
      <c r="K43" s="18">
        <v>100</v>
      </c>
      <c r="L43" s="18">
        <v>100</v>
      </c>
      <c r="M43" s="18">
        <v>100</v>
      </c>
      <c r="N43" s="18">
        <v>100</v>
      </c>
      <c r="O43" s="456">
        <v>100</v>
      </c>
      <c r="P43" s="674" t="s">
        <v>106</v>
      </c>
      <c r="Q43" s="214"/>
      <c r="R43" s="621" t="s">
        <v>89</v>
      </c>
      <c r="S43" s="211" t="s">
        <v>19</v>
      </c>
    </row>
    <row r="44" spans="1:19" s="86" customFormat="1" ht="262.5">
      <c r="A44" s="215" t="s">
        <v>109</v>
      </c>
      <c r="B44" s="621" t="s">
        <v>89</v>
      </c>
      <c r="C44" s="211" t="s">
        <v>19</v>
      </c>
      <c r="D44" s="891" t="s">
        <v>110</v>
      </c>
      <c r="E44" s="882" t="s">
        <v>111</v>
      </c>
      <c r="F44" s="638" t="s">
        <v>112</v>
      </c>
      <c r="G44" s="396" t="s">
        <v>550</v>
      </c>
      <c r="H44" s="639" t="s">
        <v>551</v>
      </c>
      <c r="I44" s="537"/>
      <c r="J44" s="18" t="s">
        <v>34</v>
      </c>
      <c r="K44" s="18" t="s">
        <v>34</v>
      </c>
      <c r="L44" s="18" t="s">
        <v>34</v>
      </c>
      <c r="M44" s="18">
        <v>85</v>
      </c>
      <c r="N44" s="18">
        <v>85</v>
      </c>
      <c r="O44" s="456">
        <v>85</v>
      </c>
      <c r="P44" s="674" t="s">
        <v>112</v>
      </c>
      <c r="Q44" s="215" t="s">
        <v>109</v>
      </c>
      <c r="R44" s="621" t="s">
        <v>89</v>
      </c>
      <c r="S44" s="211" t="s">
        <v>19</v>
      </c>
    </row>
    <row r="45" spans="1:19" s="86" customFormat="1" ht="262.5">
      <c r="A45" s="216" t="s">
        <v>115</v>
      </c>
      <c r="B45" s="621" t="s">
        <v>116</v>
      </c>
      <c r="C45" s="211" t="s">
        <v>19</v>
      </c>
      <c r="D45" s="893"/>
      <c r="E45" s="884"/>
      <c r="F45" s="638" t="s">
        <v>112</v>
      </c>
      <c r="G45" s="243" t="s">
        <v>552</v>
      </c>
      <c r="H45" s="639" t="s">
        <v>553</v>
      </c>
      <c r="I45" s="537"/>
      <c r="J45" s="18" t="s">
        <v>34</v>
      </c>
      <c r="K45" s="18" t="s">
        <v>34</v>
      </c>
      <c r="L45" s="18" t="s">
        <v>34</v>
      </c>
      <c r="M45" s="18">
        <v>85</v>
      </c>
      <c r="N45" s="18">
        <v>90</v>
      </c>
      <c r="O45" s="456">
        <v>90</v>
      </c>
      <c r="P45" s="674" t="s">
        <v>112</v>
      </c>
      <c r="Q45" s="216" t="s">
        <v>115</v>
      </c>
      <c r="R45" s="621" t="s">
        <v>116</v>
      </c>
      <c r="S45" s="211" t="s">
        <v>19</v>
      </c>
    </row>
    <row r="46" spans="1:19" s="86" customFormat="1" ht="143.25" customHeight="1">
      <c r="A46" s="216"/>
      <c r="B46" s="621" t="s">
        <v>18</v>
      </c>
      <c r="C46" s="211" t="s">
        <v>119</v>
      </c>
      <c r="D46" s="894" t="s">
        <v>120</v>
      </c>
      <c r="E46" s="885" t="s">
        <v>111</v>
      </c>
      <c r="F46" s="882" t="s">
        <v>121</v>
      </c>
      <c r="G46" s="23" t="s">
        <v>122</v>
      </c>
      <c r="H46" s="640" t="s">
        <v>123</v>
      </c>
      <c r="I46" s="595" t="s">
        <v>124</v>
      </c>
      <c r="J46" s="192">
        <v>100</v>
      </c>
      <c r="K46" s="192">
        <v>100</v>
      </c>
      <c r="L46" s="192">
        <v>100</v>
      </c>
      <c r="M46" s="192">
        <v>100</v>
      </c>
      <c r="N46" s="192">
        <v>100</v>
      </c>
      <c r="O46" s="675">
        <v>100</v>
      </c>
      <c r="P46" s="984" t="s">
        <v>121</v>
      </c>
      <c r="Q46" s="216"/>
      <c r="R46" s="621" t="s">
        <v>18</v>
      </c>
      <c r="S46" s="211" t="s">
        <v>119</v>
      </c>
    </row>
    <row r="47" spans="1:19" s="86" customFormat="1" ht="105">
      <c r="A47" s="634"/>
      <c r="B47" s="635"/>
      <c r="C47" s="207"/>
      <c r="D47" s="894"/>
      <c r="E47" s="885"/>
      <c r="F47" s="884"/>
      <c r="G47" s="21" t="s">
        <v>125</v>
      </c>
      <c r="H47" s="631"/>
      <c r="I47" s="480"/>
      <c r="J47" s="18" t="s">
        <v>34</v>
      </c>
      <c r="K47" s="18" t="s">
        <v>34</v>
      </c>
      <c r="L47" s="18" t="s">
        <v>34</v>
      </c>
      <c r="M47" s="18" t="s">
        <v>34</v>
      </c>
      <c r="N47" s="18" t="s">
        <v>126</v>
      </c>
      <c r="O47" s="456" t="s">
        <v>127</v>
      </c>
      <c r="P47" s="985"/>
      <c r="Q47" s="634"/>
      <c r="R47" s="635"/>
      <c r="S47" s="207"/>
    </row>
    <row r="48" spans="1:19" s="86" customFormat="1" ht="26.25">
      <c r="A48" s="634"/>
      <c r="B48" s="635"/>
      <c r="C48" s="207"/>
      <c r="D48" s="185" t="s">
        <v>3</v>
      </c>
      <c r="E48" s="1004" t="s">
        <v>128</v>
      </c>
      <c r="F48" s="1004"/>
      <c r="G48" s="1004"/>
      <c r="H48" s="1004"/>
      <c r="I48" s="1004"/>
      <c r="J48" s="1004"/>
      <c r="K48" s="1004"/>
      <c r="L48" s="1004"/>
      <c r="M48" s="1004"/>
      <c r="N48" s="1004"/>
      <c r="O48" s="1005"/>
      <c r="P48" s="676"/>
      <c r="Q48" s="634"/>
      <c r="R48" s="635"/>
      <c r="S48" s="207"/>
    </row>
    <row r="49" spans="1:19" s="86" customFormat="1" ht="26.25">
      <c r="A49" s="634"/>
      <c r="B49" s="635"/>
      <c r="C49" s="207"/>
      <c r="D49" s="1001" t="s">
        <v>129</v>
      </c>
      <c r="E49" s="1002"/>
      <c r="F49" s="1002"/>
      <c r="G49" s="1002"/>
      <c r="H49" s="1002"/>
      <c r="I49" s="1002"/>
      <c r="J49" s="1002"/>
      <c r="K49" s="1002"/>
      <c r="L49" s="1002"/>
      <c r="M49" s="1002"/>
      <c r="N49" s="1002"/>
      <c r="O49" s="1003"/>
      <c r="P49" s="204"/>
      <c r="Q49" s="634"/>
      <c r="R49" s="635"/>
      <c r="S49" s="207"/>
    </row>
    <row r="50" spans="1:19" s="86" customFormat="1" ht="393.75">
      <c r="A50" s="641"/>
      <c r="B50" s="642" t="s">
        <v>130</v>
      </c>
      <c r="C50" s="643" t="s">
        <v>19</v>
      </c>
      <c r="D50" s="24" t="s">
        <v>131</v>
      </c>
      <c r="E50" s="23" t="s">
        <v>132</v>
      </c>
      <c r="F50" s="21" t="s">
        <v>133</v>
      </c>
      <c r="G50" s="23" t="s">
        <v>134</v>
      </c>
      <c r="H50" s="644"/>
      <c r="I50" s="532" t="s">
        <v>554</v>
      </c>
      <c r="J50" s="240" t="s">
        <v>136</v>
      </c>
      <c r="K50" s="240" t="s">
        <v>136</v>
      </c>
      <c r="L50" s="240" t="s">
        <v>136</v>
      </c>
      <c r="M50" s="240">
        <v>100</v>
      </c>
      <c r="N50" s="240" t="s">
        <v>136</v>
      </c>
      <c r="O50" s="677" t="s">
        <v>136</v>
      </c>
      <c r="P50" s="678" t="s">
        <v>137</v>
      </c>
      <c r="Q50" s="641"/>
      <c r="R50" s="642" t="s">
        <v>130</v>
      </c>
      <c r="S50" s="643" t="s">
        <v>19</v>
      </c>
    </row>
    <row r="51" spans="1:19" s="86" customFormat="1" ht="26.25">
      <c r="A51" s="634"/>
      <c r="B51" s="635"/>
      <c r="C51" s="207"/>
      <c r="D51" s="1006" t="s">
        <v>138</v>
      </c>
      <c r="E51" s="1007"/>
      <c r="F51" s="1007"/>
      <c r="G51" s="1007"/>
      <c r="H51" s="1007"/>
      <c r="I51" s="1007"/>
      <c r="J51" s="1007"/>
      <c r="K51" s="1007"/>
      <c r="L51" s="1007"/>
      <c r="M51" s="1007"/>
      <c r="N51" s="1007"/>
      <c r="O51" s="1008"/>
      <c r="P51" s="220"/>
      <c r="Q51" s="634"/>
      <c r="R51" s="635"/>
      <c r="S51" s="207"/>
    </row>
    <row r="52" spans="1:19" s="86" customFormat="1" ht="131.25" customHeight="1">
      <c r="A52" s="215" t="s">
        <v>139</v>
      </c>
      <c r="B52" s="621" t="s">
        <v>140</v>
      </c>
      <c r="C52" s="211" t="s">
        <v>19</v>
      </c>
      <c r="D52" s="645" t="s">
        <v>141</v>
      </c>
      <c r="E52" s="188" t="s">
        <v>142</v>
      </c>
      <c r="F52" s="188" t="s">
        <v>143</v>
      </c>
      <c r="G52" s="201" t="s">
        <v>144</v>
      </c>
      <c r="H52" s="631" t="s">
        <v>555</v>
      </c>
      <c r="I52" s="380"/>
      <c r="J52" s="18" t="s">
        <v>34</v>
      </c>
      <c r="K52" s="18">
        <v>1</v>
      </c>
      <c r="L52" s="18">
        <v>2</v>
      </c>
      <c r="M52" s="18">
        <v>3</v>
      </c>
      <c r="N52" s="18">
        <v>4</v>
      </c>
      <c r="O52" s="456">
        <v>5</v>
      </c>
      <c r="P52" s="208" t="s">
        <v>143</v>
      </c>
      <c r="Q52" s="215" t="s">
        <v>139</v>
      </c>
      <c r="R52" s="621" t="s">
        <v>140</v>
      </c>
      <c r="S52" s="211" t="s">
        <v>19</v>
      </c>
    </row>
    <row r="53" spans="1:19" s="86" customFormat="1" ht="409.5">
      <c r="A53" s="215" t="s">
        <v>139</v>
      </c>
      <c r="B53" s="621" t="s">
        <v>140</v>
      </c>
      <c r="C53" s="211" t="s">
        <v>19</v>
      </c>
      <c r="D53" s="645" t="s">
        <v>146</v>
      </c>
      <c r="E53" s="188"/>
      <c r="F53" s="188"/>
      <c r="G53" s="638" t="s">
        <v>147</v>
      </c>
      <c r="H53" s="631"/>
      <c r="I53" s="380" t="s">
        <v>556</v>
      </c>
      <c r="J53" s="18" t="s">
        <v>34</v>
      </c>
      <c r="K53" s="18">
        <v>1</v>
      </c>
      <c r="L53" s="18">
        <v>2</v>
      </c>
      <c r="M53" s="18">
        <v>3</v>
      </c>
      <c r="N53" s="18">
        <v>4</v>
      </c>
      <c r="O53" s="456">
        <v>5</v>
      </c>
      <c r="P53" s="208" t="s">
        <v>143</v>
      </c>
      <c r="Q53" s="215" t="s">
        <v>139</v>
      </c>
      <c r="R53" s="621" t="s">
        <v>140</v>
      </c>
      <c r="S53" s="211" t="s">
        <v>19</v>
      </c>
    </row>
    <row r="54" spans="1:19" s="86" customFormat="1" ht="409.5">
      <c r="A54" s="215" t="s">
        <v>139</v>
      </c>
      <c r="B54" s="621" t="s">
        <v>140</v>
      </c>
      <c r="C54" s="211" t="s">
        <v>19</v>
      </c>
      <c r="D54" s="646" t="s">
        <v>149</v>
      </c>
      <c r="E54" s="188"/>
      <c r="F54" s="188"/>
      <c r="G54" s="201" t="s">
        <v>150</v>
      </c>
      <c r="H54" s="633"/>
      <c r="I54" s="377" t="s">
        <v>557</v>
      </c>
      <c r="J54" s="18" t="s">
        <v>34</v>
      </c>
      <c r="K54" s="18">
        <v>1</v>
      </c>
      <c r="L54" s="18">
        <v>2</v>
      </c>
      <c r="M54" s="18">
        <v>3</v>
      </c>
      <c r="N54" s="18">
        <v>4</v>
      </c>
      <c r="O54" s="456">
        <v>5</v>
      </c>
      <c r="P54" s="208" t="s">
        <v>143</v>
      </c>
      <c r="Q54" s="215" t="s">
        <v>139</v>
      </c>
      <c r="R54" s="621" t="s">
        <v>140</v>
      </c>
      <c r="S54" s="211" t="s">
        <v>19</v>
      </c>
    </row>
    <row r="55" spans="1:19" s="86" customFormat="1" ht="288.75">
      <c r="A55" s="215" t="s">
        <v>139</v>
      </c>
      <c r="B55" s="621" t="s">
        <v>140</v>
      </c>
      <c r="C55" s="211" t="s">
        <v>19</v>
      </c>
      <c r="D55" s="645" t="s">
        <v>152</v>
      </c>
      <c r="E55" s="188"/>
      <c r="F55" s="188"/>
      <c r="G55" s="201" t="s">
        <v>153</v>
      </c>
      <c r="H55" s="633"/>
      <c r="I55" s="377" t="s">
        <v>558</v>
      </c>
      <c r="J55" s="18" t="s">
        <v>34</v>
      </c>
      <c r="K55" s="18">
        <v>1</v>
      </c>
      <c r="L55" s="18">
        <v>2</v>
      </c>
      <c r="M55" s="18">
        <v>3</v>
      </c>
      <c r="N55" s="18">
        <v>4</v>
      </c>
      <c r="O55" s="456">
        <v>5</v>
      </c>
      <c r="P55" s="208" t="s">
        <v>143</v>
      </c>
      <c r="Q55" s="215" t="s">
        <v>139</v>
      </c>
      <c r="R55" s="621" t="s">
        <v>140</v>
      </c>
      <c r="S55" s="211" t="s">
        <v>19</v>
      </c>
    </row>
    <row r="56" spans="1:19" s="86" customFormat="1" ht="131.25">
      <c r="A56" s="647" t="s">
        <v>139</v>
      </c>
      <c r="B56" s="648" t="s">
        <v>140</v>
      </c>
      <c r="C56" s="649" t="s">
        <v>19</v>
      </c>
      <c r="D56" s="26"/>
      <c r="E56" s="15"/>
      <c r="F56" s="15"/>
      <c r="G56" s="16" t="s">
        <v>559</v>
      </c>
      <c r="H56" s="650" t="s">
        <v>560</v>
      </c>
      <c r="I56" s="679"/>
      <c r="J56" s="680" t="s">
        <v>34</v>
      </c>
      <c r="K56" s="680" t="s">
        <v>34</v>
      </c>
      <c r="L56" s="680" t="s">
        <v>34</v>
      </c>
      <c r="M56" s="680" t="s">
        <v>81</v>
      </c>
      <c r="N56" s="681" t="s">
        <v>157</v>
      </c>
      <c r="O56" s="682" t="s">
        <v>157</v>
      </c>
      <c r="P56" s="683" t="s">
        <v>143</v>
      </c>
      <c r="Q56" s="647" t="s">
        <v>139</v>
      </c>
      <c r="R56" s="648" t="s">
        <v>140</v>
      </c>
      <c r="S56" s="649" t="s">
        <v>19</v>
      </c>
    </row>
    <row r="57" spans="1:19" s="86" customFormat="1" ht="131.25">
      <c r="A57" s="651"/>
      <c r="B57" s="652" t="s">
        <v>140</v>
      </c>
      <c r="C57" s="653" t="s">
        <v>19</v>
      </c>
      <c r="D57" s="507"/>
      <c r="E57" s="427"/>
      <c r="F57" s="427"/>
      <c r="G57" s="508"/>
      <c r="H57" s="654"/>
      <c r="I57" s="684" t="s">
        <v>561</v>
      </c>
      <c r="J57" s="685" t="s">
        <v>34</v>
      </c>
      <c r="K57" s="685" t="s">
        <v>34</v>
      </c>
      <c r="L57" s="685" t="s">
        <v>34</v>
      </c>
      <c r="M57" s="685">
        <v>60</v>
      </c>
      <c r="N57" s="685">
        <v>70</v>
      </c>
      <c r="O57" s="686">
        <v>80</v>
      </c>
      <c r="P57" s="683" t="s">
        <v>143</v>
      </c>
      <c r="Q57" s="651"/>
      <c r="R57" s="652" t="s">
        <v>140</v>
      </c>
      <c r="S57" s="653" t="s">
        <v>19</v>
      </c>
    </row>
    <row r="58" spans="1:19" s="86" customFormat="1" ht="142.5" customHeight="1">
      <c r="A58" s="655" t="s">
        <v>139</v>
      </c>
      <c r="B58" s="656" t="s">
        <v>140</v>
      </c>
      <c r="C58" s="657" t="s">
        <v>19</v>
      </c>
      <c r="D58" s="658" t="s">
        <v>159</v>
      </c>
      <c r="E58" s="659" t="s">
        <v>160</v>
      </c>
      <c r="F58" s="659" t="s">
        <v>143</v>
      </c>
      <c r="G58" s="660" t="s">
        <v>161</v>
      </c>
      <c r="H58" s="661"/>
      <c r="I58" s="687" t="s">
        <v>562</v>
      </c>
      <c r="J58" s="688" t="s">
        <v>34</v>
      </c>
      <c r="K58" s="688" t="s">
        <v>34</v>
      </c>
      <c r="L58" s="688" t="s">
        <v>34</v>
      </c>
      <c r="M58" s="688" t="s">
        <v>81</v>
      </c>
      <c r="N58" s="688" t="s">
        <v>157</v>
      </c>
      <c r="O58" s="689" t="s">
        <v>157</v>
      </c>
      <c r="P58" s="690" t="s">
        <v>143</v>
      </c>
      <c r="Q58" s="655" t="s">
        <v>139</v>
      </c>
      <c r="R58" s="656" t="s">
        <v>140</v>
      </c>
      <c r="S58" s="657" t="s">
        <v>19</v>
      </c>
    </row>
    <row r="59" spans="1:19" s="86" customFormat="1" ht="26.25">
      <c r="A59" s="662"/>
      <c r="B59" s="663"/>
      <c r="C59" s="85"/>
      <c r="D59" s="72"/>
      <c r="E59" s="72"/>
      <c r="F59" s="72"/>
      <c r="G59" s="72"/>
      <c r="H59" s="72"/>
      <c r="I59" s="72"/>
      <c r="J59" s="530"/>
      <c r="K59" s="530"/>
      <c r="L59" s="531"/>
      <c r="M59" s="531"/>
      <c r="N59" s="72"/>
      <c r="O59" s="72"/>
      <c r="P59" s="147"/>
      <c r="Q59" s="662"/>
      <c r="R59" s="663"/>
      <c r="S59" s="85"/>
    </row>
    <row r="60" spans="1:19" s="86" customFormat="1" ht="26.25">
      <c r="A60" s="662"/>
      <c r="B60" s="663"/>
      <c r="C60" s="85"/>
      <c r="D60" s="72">
        <v>11</v>
      </c>
      <c r="E60" s="72" t="s">
        <v>563</v>
      </c>
      <c r="F60" s="72"/>
      <c r="G60" s="664" t="s">
        <v>564</v>
      </c>
      <c r="H60" s="665">
        <v>12</v>
      </c>
      <c r="I60" s="665"/>
      <c r="J60" s="530"/>
      <c r="K60" s="530"/>
      <c r="L60" s="531"/>
      <c r="M60" s="531"/>
      <c r="N60" s="72"/>
      <c r="O60" s="72"/>
      <c r="P60" s="147"/>
      <c r="Q60" s="662"/>
      <c r="R60" s="663"/>
      <c r="S60" s="85"/>
    </row>
    <row r="61" spans="1:19" s="86" customFormat="1" ht="26.25">
      <c r="A61" s="662"/>
      <c r="B61" s="663"/>
      <c r="C61" s="85"/>
      <c r="D61" s="72"/>
      <c r="E61" s="72"/>
      <c r="F61" s="72"/>
      <c r="G61" s="145" t="s">
        <v>565</v>
      </c>
      <c r="H61" s="146">
        <v>20</v>
      </c>
      <c r="I61" s="146"/>
      <c r="J61" s="530"/>
      <c r="K61" s="530"/>
      <c r="L61" s="531"/>
      <c r="M61" s="531"/>
      <c r="N61" s="72"/>
      <c r="O61" s="72"/>
      <c r="P61" s="147"/>
      <c r="Q61" s="662"/>
      <c r="R61" s="663"/>
      <c r="S61" s="85"/>
    </row>
    <row r="62" spans="1:19" s="86" customFormat="1" ht="26.25">
      <c r="A62" s="662"/>
      <c r="B62" s="663"/>
      <c r="C62" s="85"/>
      <c r="D62" s="72"/>
      <c r="E62" s="72"/>
      <c r="F62" s="72"/>
      <c r="G62" s="73" t="s">
        <v>566</v>
      </c>
      <c r="H62" s="147">
        <f>H60+H61</f>
        <v>32</v>
      </c>
      <c r="I62" s="147"/>
      <c r="J62" s="530"/>
      <c r="K62" s="530"/>
      <c r="L62" s="531"/>
      <c r="M62" s="531"/>
      <c r="N62" s="72"/>
      <c r="O62" s="72"/>
      <c r="P62" s="147"/>
      <c r="Q62" s="662"/>
      <c r="R62" s="663"/>
      <c r="S62" s="85"/>
    </row>
  </sheetData>
  <mergeCells count="51">
    <mergeCell ref="D1:S1"/>
    <mergeCell ref="E2:S2"/>
    <mergeCell ref="E3:S3"/>
    <mergeCell ref="E4:S4"/>
    <mergeCell ref="E5:S5"/>
    <mergeCell ref="E6:S6"/>
    <mergeCell ref="E8:S8"/>
    <mergeCell ref="E9:S9"/>
    <mergeCell ref="E10:S10"/>
    <mergeCell ref="E11:S11"/>
    <mergeCell ref="E13:S13"/>
    <mergeCell ref="E14:S14"/>
    <mergeCell ref="E18:O18"/>
    <mergeCell ref="J19:O19"/>
    <mergeCell ref="D21:O21"/>
    <mergeCell ref="D16:D17"/>
    <mergeCell ref="G19:G20"/>
    <mergeCell ref="Q19:Q20"/>
    <mergeCell ref="R19:R20"/>
    <mergeCell ref="S19:S20"/>
    <mergeCell ref="E48:O48"/>
    <mergeCell ref="D49:O49"/>
    <mergeCell ref="D51:O51"/>
    <mergeCell ref="A19:A20"/>
    <mergeCell ref="B19:B20"/>
    <mergeCell ref="C19:C20"/>
    <mergeCell ref="D19:D20"/>
    <mergeCell ref="D27:D33"/>
    <mergeCell ref="D34:D35"/>
    <mergeCell ref="D38:D43"/>
    <mergeCell ref="D44:D45"/>
    <mergeCell ref="D46:D47"/>
    <mergeCell ref="E19:E20"/>
    <mergeCell ref="E27:E33"/>
    <mergeCell ref="E34:E35"/>
    <mergeCell ref="P46:P47"/>
    <mergeCell ref="E44:E45"/>
    <mergeCell ref="E46:E47"/>
    <mergeCell ref="F19:F20"/>
    <mergeCell ref="F27:F28"/>
    <mergeCell ref="F29:F33"/>
    <mergeCell ref="F34:F35"/>
    <mergeCell ref="F46:F47"/>
    <mergeCell ref="D37:O37"/>
    <mergeCell ref="A16:C18"/>
    <mergeCell ref="Q16:S18"/>
    <mergeCell ref="E16:P17"/>
    <mergeCell ref="G34:G35"/>
    <mergeCell ref="H19:H20"/>
    <mergeCell ref="I19:I20"/>
    <mergeCell ref="P19:P20"/>
  </mergeCells>
  <pageMargins left="0.25" right="0.25" top="0.75" bottom="0.75" header="0.3" footer="0.3"/>
  <pageSetup paperSize="9" scale="48" fitToHeight="0" orientation="landscape" r:id="rId1"/>
  <rowBreaks count="4" manualBreakCount="4">
    <brk id="39" max="16383" man="1"/>
    <brk id="43" max="16383" man="1"/>
    <brk id="47" max="16383" man="1"/>
    <brk id="5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1454817346722"/>
    <pageSetUpPr fitToPage="1"/>
  </sheetPr>
  <dimension ref="A1:S49"/>
  <sheetViews>
    <sheetView tabSelected="1" view="pageBreakPreview" topLeftCell="E18" zoomScale="70" zoomScaleNormal="70" workbookViewId="0">
      <selection activeCell="H20" sqref="H20"/>
    </sheetView>
  </sheetViews>
  <sheetFormatPr defaultColWidth="13.125" defaultRowHeight="14.25"/>
  <cols>
    <col min="1" max="1" width="10.75" style="551" customWidth="1"/>
    <col min="2" max="2" width="10.75" style="552" customWidth="1"/>
    <col min="3" max="3" width="10.75" style="553" customWidth="1"/>
    <col min="4" max="4" width="25" style="486" customWidth="1"/>
    <col min="5" max="5" width="21.5" style="486" customWidth="1"/>
    <col min="6" max="6" width="24.625" style="486" customWidth="1"/>
    <col min="7" max="7" width="25.375" style="486" customWidth="1"/>
    <col min="8" max="9" width="34.75" style="486" customWidth="1"/>
    <col min="10" max="11" width="9.25" style="486" customWidth="1"/>
    <col min="12" max="12" width="9.25" style="554" customWidth="1"/>
    <col min="13" max="15" width="9.25" style="486" customWidth="1"/>
    <col min="16" max="16" width="23.625" style="486" customWidth="1"/>
    <col min="17" max="17" width="10.75" style="551" hidden="1" customWidth="1"/>
    <col min="18" max="18" width="10.75" style="552" hidden="1" customWidth="1"/>
    <col min="19" max="19" width="10.75" style="553" hidden="1" customWidth="1"/>
    <col min="20" max="33" width="8.375" style="486" customWidth="1"/>
    <col min="34" max="16384" width="13.125" style="486"/>
  </cols>
  <sheetData>
    <row r="1" spans="1:19" s="86" customFormat="1" ht="54" customHeight="1">
      <c r="D1" s="1058" t="s">
        <v>567</v>
      </c>
      <c r="E1" s="1059"/>
      <c r="F1" s="1059"/>
      <c r="G1" s="1059"/>
      <c r="H1" s="1059"/>
      <c r="I1" s="1059"/>
      <c r="J1" s="1059"/>
      <c r="K1" s="1059"/>
      <c r="L1" s="1059"/>
      <c r="M1" s="1059"/>
      <c r="N1" s="1059"/>
      <c r="O1" s="1059"/>
      <c r="P1" s="1059"/>
      <c r="Q1" s="1059"/>
      <c r="R1" s="1059"/>
      <c r="S1" s="1060"/>
    </row>
    <row r="2" spans="1:19" s="87" customFormat="1" ht="26.25">
      <c r="D2" s="91" t="s">
        <v>519</v>
      </c>
      <c r="E2" s="1061" t="s">
        <v>568</v>
      </c>
      <c r="F2" s="1061"/>
      <c r="G2" s="1061"/>
      <c r="H2" s="1061"/>
      <c r="I2" s="1061"/>
      <c r="J2" s="1061"/>
      <c r="K2" s="1061"/>
      <c r="L2" s="1061"/>
      <c r="M2" s="1061"/>
      <c r="N2" s="1061"/>
      <c r="O2" s="1061"/>
      <c r="P2" s="1061"/>
      <c r="Q2" s="1061"/>
      <c r="R2" s="1061"/>
      <c r="S2" s="1062"/>
    </row>
    <row r="3" spans="1:19" s="86" customFormat="1" ht="26.25">
      <c r="D3" s="6" t="s">
        <v>521</v>
      </c>
      <c r="E3" s="1025" t="s">
        <v>569</v>
      </c>
      <c r="F3" s="1026"/>
      <c r="G3" s="1026"/>
      <c r="H3" s="1026"/>
      <c r="I3" s="1026"/>
      <c r="J3" s="1026"/>
      <c r="K3" s="1026"/>
      <c r="L3" s="1026"/>
      <c r="M3" s="1026"/>
      <c r="N3" s="1026"/>
      <c r="O3" s="1026"/>
      <c r="P3" s="1026"/>
      <c r="Q3" s="1026"/>
      <c r="R3" s="1026"/>
      <c r="S3" s="1027"/>
    </row>
    <row r="4" spans="1:19" s="86" customFormat="1" ht="26.25">
      <c r="D4" s="9"/>
      <c r="E4" s="1014" t="s">
        <v>570</v>
      </c>
      <c r="F4" s="1015"/>
      <c r="G4" s="1015"/>
      <c r="H4" s="1015"/>
      <c r="I4" s="1015"/>
      <c r="J4" s="1015"/>
      <c r="K4" s="1015"/>
      <c r="L4" s="1015"/>
      <c r="M4" s="1015"/>
      <c r="N4" s="1015"/>
      <c r="O4" s="1015"/>
      <c r="P4" s="1015"/>
      <c r="Q4" s="1015"/>
      <c r="R4" s="1015"/>
      <c r="S4" s="1016"/>
    </row>
    <row r="5" spans="1:19" s="86" customFormat="1" ht="26.25">
      <c r="D5" s="9"/>
      <c r="E5" s="1026" t="s">
        <v>571</v>
      </c>
      <c r="F5" s="1026"/>
      <c r="G5" s="1026"/>
      <c r="H5" s="1026"/>
      <c r="I5" s="1026"/>
      <c r="J5" s="1026"/>
      <c r="K5" s="1026"/>
      <c r="L5" s="1026"/>
      <c r="M5" s="1026"/>
      <c r="N5" s="1026"/>
      <c r="O5" s="1026"/>
      <c r="P5" s="1026"/>
      <c r="Q5" s="1026"/>
      <c r="R5" s="1026"/>
      <c r="S5" s="1027"/>
    </row>
    <row r="6" spans="1:19" s="86" customFormat="1" ht="26.25">
      <c r="A6" s="555"/>
      <c r="B6" s="556"/>
      <c r="C6" s="39"/>
      <c r="D6" s="9"/>
      <c r="E6" s="92"/>
      <c r="F6" s="92"/>
      <c r="G6" s="1"/>
      <c r="H6" s="2"/>
      <c r="I6" s="2"/>
      <c r="J6" s="2"/>
      <c r="K6" s="2"/>
      <c r="L6" s="84"/>
      <c r="M6" s="2"/>
      <c r="N6" s="2"/>
      <c r="O6" s="2"/>
      <c r="P6" s="1"/>
      <c r="Q6" s="555"/>
      <c r="R6" s="556"/>
      <c r="S6" s="39"/>
    </row>
    <row r="7" spans="1:19" s="86" customFormat="1" ht="26.25">
      <c r="D7" s="11" t="s">
        <v>526</v>
      </c>
      <c r="E7" s="1015" t="s">
        <v>572</v>
      </c>
      <c r="F7" s="1015"/>
      <c r="G7" s="1015"/>
      <c r="H7" s="1015"/>
      <c r="I7" s="1015"/>
      <c r="J7" s="1015"/>
      <c r="K7" s="1015"/>
      <c r="L7" s="1015"/>
      <c r="M7" s="1015"/>
      <c r="N7" s="1015"/>
      <c r="O7" s="1015"/>
      <c r="P7" s="1015"/>
      <c r="Q7" s="1015"/>
      <c r="R7" s="1015"/>
      <c r="S7" s="1016"/>
    </row>
    <row r="8" spans="1:19" s="86" customFormat="1" ht="26.25">
      <c r="D8" s="9"/>
      <c r="E8" s="1026" t="s">
        <v>573</v>
      </c>
      <c r="F8" s="1026"/>
      <c r="G8" s="1026"/>
      <c r="H8" s="1026"/>
      <c r="I8" s="1026"/>
      <c r="J8" s="1026"/>
      <c r="K8" s="1026"/>
      <c r="L8" s="1026"/>
      <c r="M8" s="1026"/>
      <c r="N8" s="1026"/>
      <c r="O8" s="1026"/>
      <c r="P8" s="1026"/>
      <c r="Q8" s="1026"/>
      <c r="R8" s="1026"/>
      <c r="S8" s="1027"/>
    </row>
    <row r="9" spans="1:19" s="86" customFormat="1" ht="26.25">
      <c r="D9" s="9"/>
      <c r="E9" s="1015" t="s">
        <v>574</v>
      </c>
      <c r="F9" s="1015"/>
      <c r="G9" s="1015"/>
      <c r="H9" s="1015"/>
      <c r="I9" s="1015"/>
      <c r="J9" s="1015"/>
      <c r="K9" s="1015"/>
      <c r="L9" s="1015"/>
      <c r="M9" s="1015"/>
      <c r="N9" s="1015"/>
      <c r="O9" s="1015"/>
      <c r="P9" s="1015"/>
      <c r="Q9" s="1015"/>
      <c r="R9" s="1015"/>
      <c r="S9" s="1016"/>
    </row>
    <row r="10" spans="1:19" s="86" customFormat="1" ht="26.25">
      <c r="D10" s="9"/>
      <c r="E10" s="1026" t="s">
        <v>575</v>
      </c>
      <c r="F10" s="1026"/>
      <c r="G10" s="1026"/>
      <c r="H10" s="1026"/>
      <c r="I10" s="1026"/>
      <c r="J10" s="1026"/>
      <c r="K10" s="1026"/>
      <c r="L10" s="1026"/>
      <c r="M10" s="1026"/>
      <c r="N10" s="1026"/>
      <c r="O10" s="1026"/>
      <c r="P10" s="1026"/>
      <c r="Q10" s="1026"/>
      <c r="R10" s="1026"/>
      <c r="S10" s="1027"/>
    </row>
    <row r="11" spans="1:19" s="86" customFormat="1" ht="26.25">
      <c r="A11" s="555"/>
      <c r="B11" s="556"/>
      <c r="C11" s="39"/>
      <c r="D11" s="9"/>
      <c r="E11" s="92"/>
      <c r="F11" s="92"/>
      <c r="G11" s="2"/>
      <c r="H11" s="2"/>
      <c r="I11" s="2"/>
      <c r="J11" s="2"/>
      <c r="K11" s="2"/>
      <c r="L11" s="84"/>
      <c r="M11" s="2"/>
      <c r="N11" s="2"/>
      <c r="O11" s="2"/>
      <c r="P11" s="1"/>
      <c r="Q11" s="555"/>
      <c r="R11" s="556"/>
      <c r="S11" s="39"/>
    </row>
    <row r="12" spans="1:19" s="86" customFormat="1" ht="26.25" customHeight="1">
      <c r="D12" s="9" t="s">
        <v>531</v>
      </c>
      <c r="E12" s="1014" t="s">
        <v>576</v>
      </c>
      <c r="F12" s="1015"/>
      <c r="G12" s="1015"/>
      <c r="H12" s="1015"/>
      <c r="I12" s="1015"/>
      <c r="J12" s="1015"/>
      <c r="K12" s="1015"/>
      <c r="L12" s="1015"/>
      <c r="M12" s="1015"/>
      <c r="N12" s="1015"/>
      <c r="O12" s="1015"/>
      <c r="P12" s="1015"/>
      <c r="Q12" s="1015"/>
      <c r="R12" s="1015"/>
      <c r="S12" s="1016"/>
    </row>
    <row r="13" spans="1:19" s="86" customFormat="1" ht="26.25">
      <c r="D13" s="9"/>
      <c r="E13" s="1014" t="s">
        <v>577</v>
      </c>
      <c r="F13" s="1015"/>
      <c r="G13" s="1015"/>
      <c r="H13" s="1015"/>
      <c r="I13" s="1015"/>
      <c r="J13" s="1015"/>
      <c r="K13" s="1015"/>
      <c r="L13" s="1015"/>
      <c r="M13" s="1015"/>
      <c r="N13" s="1015"/>
      <c r="O13" s="1015"/>
      <c r="P13" s="1015"/>
      <c r="Q13" s="1015"/>
      <c r="R13" s="1015"/>
      <c r="S13" s="1016"/>
    </row>
    <row r="14" spans="1:19" s="86" customFormat="1" ht="26.25">
      <c r="A14" s="555"/>
      <c r="B14" s="557"/>
      <c r="C14" s="558"/>
      <c r="D14" s="12"/>
      <c r="E14" s="1"/>
      <c r="F14" s="1"/>
      <c r="G14" s="1"/>
      <c r="H14" s="489"/>
      <c r="I14" s="489"/>
      <c r="J14" s="489"/>
      <c r="K14" s="489"/>
      <c r="L14" s="586"/>
      <c r="M14" s="489"/>
      <c r="N14" s="489"/>
      <c r="O14" s="489"/>
      <c r="P14" s="489"/>
      <c r="Q14" s="555"/>
      <c r="R14" s="557"/>
      <c r="S14" s="558"/>
    </row>
    <row r="15" spans="1:19" s="1" customFormat="1" ht="54.75" customHeight="1">
      <c r="A15" s="811" t="s">
        <v>0</v>
      </c>
      <c r="B15" s="812"/>
      <c r="C15" s="813"/>
      <c r="D15" s="559" t="s">
        <v>163</v>
      </c>
      <c r="E15" s="1047" t="s">
        <v>164</v>
      </c>
      <c r="F15" s="1048"/>
      <c r="G15" s="1048"/>
      <c r="H15" s="1048"/>
      <c r="I15" s="1048"/>
      <c r="J15" s="1048"/>
      <c r="K15" s="1048"/>
      <c r="L15" s="1048"/>
      <c r="M15" s="1048"/>
      <c r="N15" s="1048"/>
      <c r="O15" s="1048"/>
      <c r="P15" s="1049"/>
      <c r="Q15" s="811" t="s">
        <v>0</v>
      </c>
      <c r="R15" s="812"/>
      <c r="S15" s="813"/>
    </row>
    <row r="16" spans="1:19" s="1" customFormat="1" ht="26.25">
      <c r="A16" s="814"/>
      <c r="B16" s="815"/>
      <c r="C16" s="816"/>
      <c r="D16" s="560" t="s">
        <v>3</v>
      </c>
      <c r="E16" s="1050" t="s">
        <v>165</v>
      </c>
      <c r="F16" s="1043"/>
      <c r="G16" s="1043"/>
      <c r="H16" s="1043"/>
      <c r="I16" s="1043"/>
      <c r="J16" s="1043"/>
      <c r="K16" s="1043"/>
      <c r="L16" s="1043"/>
      <c r="M16" s="1043"/>
      <c r="N16" s="1043"/>
      <c r="O16" s="1051"/>
      <c r="P16" s="587"/>
      <c r="Q16" s="814"/>
      <c r="R16" s="815"/>
      <c r="S16" s="816"/>
    </row>
    <row r="17" spans="1:19" s="1" customFormat="1" ht="26.25">
      <c r="A17" s="849" t="s">
        <v>5</v>
      </c>
      <c r="B17" s="809" t="s">
        <v>6</v>
      </c>
      <c r="C17" s="810" t="s">
        <v>7</v>
      </c>
      <c r="D17" s="1036" t="s">
        <v>8</v>
      </c>
      <c r="E17" s="1034" t="s">
        <v>9</v>
      </c>
      <c r="F17" s="1041" t="s">
        <v>166</v>
      </c>
      <c r="G17" s="1041" t="s">
        <v>11</v>
      </c>
      <c r="H17" s="1041" t="s">
        <v>12</v>
      </c>
      <c r="I17" s="997" t="s">
        <v>13</v>
      </c>
      <c r="J17" s="1041" t="s">
        <v>14</v>
      </c>
      <c r="K17" s="1041"/>
      <c r="L17" s="1041"/>
      <c r="M17" s="1041"/>
      <c r="N17" s="1041"/>
      <c r="O17" s="1052"/>
      <c r="P17" s="1053" t="s">
        <v>15</v>
      </c>
      <c r="Q17" s="849" t="s">
        <v>5</v>
      </c>
      <c r="R17" s="809" t="s">
        <v>6</v>
      </c>
      <c r="S17" s="810" t="s">
        <v>7</v>
      </c>
    </row>
    <row r="18" spans="1:19" s="1" customFormat="1" ht="26.25">
      <c r="A18" s="850"/>
      <c r="B18" s="919"/>
      <c r="C18" s="843"/>
      <c r="D18" s="1037"/>
      <c r="E18" s="1035"/>
      <c r="F18" s="1042"/>
      <c r="G18" s="1042"/>
      <c r="H18" s="1042"/>
      <c r="I18" s="998"/>
      <c r="J18" s="561">
        <v>65</v>
      </c>
      <c r="K18" s="561">
        <v>66</v>
      </c>
      <c r="L18" s="561">
        <v>67</v>
      </c>
      <c r="M18" s="561">
        <v>68</v>
      </c>
      <c r="N18" s="561">
        <v>69</v>
      </c>
      <c r="O18" s="588">
        <v>70</v>
      </c>
      <c r="P18" s="1054"/>
      <c r="Q18" s="850"/>
      <c r="R18" s="919"/>
      <c r="S18" s="843"/>
    </row>
    <row r="19" spans="1:19" s="1" customFormat="1" ht="26.25">
      <c r="A19" s="258"/>
      <c r="B19" s="259"/>
      <c r="C19" s="512"/>
      <c r="D19" s="857" t="s">
        <v>167</v>
      </c>
      <c r="E19" s="858"/>
      <c r="F19" s="858"/>
      <c r="G19" s="858"/>
      <c r="H19" s="858"/>
      <c r="I19" s="858"/>
      <c r="J19" s="858"/>
      <c r="K19" s="858"/>
      <c r="L19" s="858"/>
      <c r="M19" s="858"/>
      <c r="N19" s="858"/>
      <c r="O19" s="955"/>
      <c r="P19" s="589"/>
      <c r="Q19" s="258"/>
      <c r="R19" s="259"/>
      <c r="S19" s="512"/>
    </row>
    <row r="20" spans="1:19" s="1" customFormat="1" ht="124.5">
      <c r="A20" s="48" t="s">
        <v>168</v>
      </c>
      <c r="B20" s="62" t="s">
        <v>169</v>
      </c>
      <c r="C20" s="233" t="s">
        <v>19</v>
      </c>
      <c r="D20" s="1038" t="s">
        <v>578</v>
      </c>
      <c r="E20" s="885" t="s">
        <v>171</v>
      </c>
      <c r="F20" s="885" t="s">
        <v>172</v>
      </c>
      <c r="G20" s="23" t="s">
        <v>579</v>
      </c>
      <c r="H20" s="1243" t="s">
        <v>580</v>
      </c>
      <c r="I20" s="377"/>
      <c r="J20" s="18" t="s">
        <v>34</v>
      </c>
      <c r="K20" s="18">
        <v>2</v>
      </c>
      <c r="L20" s="18">
        <v>3</v>
      </c>
      <c r="M20" s="18">
        <v>4</v>
      </c>
      <c r="N20" s="51">
        <v>5</v>
      </c>
      <c r="O20" s="442">
        <v>6</v>
      </c>
      <c r="P20" s="457" t="s">
        <v>175</v>
      </c>
      <c r="Q20" s="48" t="s">
        <v>168</v>
      </c>
      <c r="R20" s="62" t="s">
        <v>169</v>
      </c>
      <c r="S20" s="233" t="s">
        <v>19</v>
      </c>
    </row>
    <row r="21" spans="1:19" s="1" customFormat="1" ht="131.25">
      <c r="A21" s="394" t="s">
        <v>176</v>
      </c>
      <c r="B21" s="62" t="s">
        <v>169</v>
      </c>
      <c r="C21" s="233" t="s">
        <v>19</v>
      </c>
      <c r="D21" s="897"/>
      <c r="E21" s="885"/>
      <c r="F21" s="885"/>
      <c r="G21" s="1055"/>
      <c r="H21" s="562"/>
      <c r="I21" s="377" t="s">
        <v>581</v>
      </c>
      <c r="J21" s="18" t="s">
        <v>34</v>
      </c>
      <c r="K21" s="18" t="s">
        <v>34</v>
      </c>
      <c r="L21" s="18">
        <v>1</v>
      </c>
      <c r="M21" s="18">
        <v>1</v>
      </c>
      <c r="N21" s="51">
        <v>1</v>
      </c>
      <c r="O21" s="442">
        <v>1</v>
      </c>
      <c r="P21" s="457" t="s">
        <v>175</v>
      </c>
      <c r="Q21" s="394" t="s">
        <v>176</v>
      </c>
      <c r="R21" s="62" t="s">
        <v>169</v>
      </c>
      <c r="S21" s="233" t="s">
        <v>19</v>
      </c>
    </row>
    <row r="22" spans="1:19" s="1" customFormat="1" ht="105">
      <c r="A22" s="48" t="s">
        <v>178</v>
      </c>
      <c r="B22" s="62" t="s">
        <v>169</v>
      </c>
      <c r="C22" s="233" t="s">
        <v>19</v>
      </c>
      <c r="D22" s="897"/>
      <c r="E22" s="885"/>
      <c r="F22" s="885"/>
      <c r="G22" s="1056"/>
      <c r="H22" s="562"/>
      <c r="I22" s="377" t="s">
        <v>582</v>
      </c>
      <c r="J22" s="18" t="s">
        <v>34</v>
      </c>
      <c r="K22" s="18" t="s">
        <v>34</v>
      </c>
      <c r="L22" s="18">
        <v>1</v>
      </c>
      <c r="M22" s="18">
        <v>2</v>
      </c>
      <c r="N22" s="51">
        <v>4</v>
      </c>
      <c r="O22" s="442">
        <v>5</v>
      </c>
      <c r="P22" s="457" t="s">
        <v>180</v>
      </c>
      <c r="Q22" s="48" t="s">
        <v>178</v>
      </c>
      <c r="R22" s="62" t="s">
        <v>169</v>
      </c>
      <c r="S22" s="233" t="s">
        <v>19</v>
      </c>
    </row>
    <row r="23" spans="1:19" s="1" customFormat="1" ht="78.75">
      <c r="A23" s="48" t="s">
        <v>178</v>
      </c>
      <c r="B23" s="62" t="s">
        <v>169</v>
      </c>
      <c r="C23" s="233" t="s">
        <v>19</v>
      </c>
      <c r="D23" s="897"/>
      <c r="E23" s="885"/>
      <c r="F23" s="885"/>
      <c r="G23" s="1057"/>
      <c r="H23" s="563"/>
      <c r="I23" s="537" t="s">
        <v>583</v>
      </c>
      <c r="J23" s="192" t="s">
        <v>34</v>
      </c>
      <c r="K23" s="192" t="s">
        <v>34</v>
      </c>
      <c r="L23" s="192">
        <v>1</v>
      </c>
      <c r="M23" s="192">
        <v>2</v>
      </c>
      <c r="N23" s="217">
        <v>3</v>
      </c>
      <c r="O23" s="590">
        <v>4</v>
      </c>
      <c r="P23" s="457" t="s">
        <v>180</v>
      </c>
      <c r="Q23" s="48" t="s">
        <v>178</v>
      </c>
      <c r="R23" s="62" t="s">
        <v>169</v>
      </c>
      <c r="S23" s="233" t="s">
        <v>19</v>
      </c>
    </row>
    <row r="24" spans="1:19" s="1" customFormat="1" ht="306.75" customHeight="1">
      <c r="A24" s="48" t="s">
        <v>182</v>
      </c>
      <c r="B24" s="62" t="s">
        <v>183</v>
      </c>
      <c r="C24" s="233" t="s">
        <v>19</v>
      </c>
      <c r="D24" s="1039" t="s">
        <v>184</v>
      </c>
      <c r="E24" s="189"/>
      <c r="F24" s="189"/>
      <c r="G24" s="564" t="s">
        <v>584</v>
      </c>
      <c r="H24" s="562" t="s">
        <v>585</v>
      </c>
      <c r="I24" s="377"/>
      <c r="J24" s="18">
        <v>31</v>
      </c>
      <c r="K24" s="18">
        <v>34</v>
      </c>
      <c r="L24" s="18">
        <v>47</v>
      </c>
      <c r="M24" s="18">
        <v>50</v>
      </c>
      <c r="N24" s="51">
        <v>55</v>
      </c>
      <c r="O24" s="442">
        <v>60</v>
      </c>
      <c r="P24" s="237" t="s">
        <v>180</v>
      </c>
      <c r="Q24" s="48" t="s">
        <v>182</v>
      </c>
      <c r="R24" s="62" t="s">
        <v>183</v>
      </c>
      <c r="S24" s="233" t="s">
        <v>19</v>
      </c>
    </row>
    <row r="25" spans="1:19" s="1" customFormat="1" ht="236.25">
      <c r="A25" s="48" t="s">
        <v>182</v>
      </c>
      <c r="B25" s="62" t="s">
        <v>183</v>
      </c>
      <c r="C25" s="233" t="s">
        <v>19</v>
      </c>
      <c r="D25" s="1040"/>
      <c r="E25" s="19"/>
      <c r="F25" s="19"/>
      <c r="G25" s="564" t="s">
        <v>586</v>
      </c>
      <c r="H25" s="562" t="s">
        <v>587</v>
      </c>
      <c r="I25" s="591"/>
      <c r="J25" s="18" t="s">
        <v>34</v>
      </c>
      <c r="K25" s="18" t="s">
        <v>34</v>
      </c>
      <c r="L25" s="18">
        <v>65</v>
      </c>
      <c r="M25" s="18">
        <v>70</v>
      </c>
      <c r="N25" s="51">
        <v>70</v>
      </c>
      <c r="O25" s="442">
        <v>70</v>
      </c>
      <c r="P25" s="237" t="s">
        <v>180</v>
      </c>
      <c r="Q25" s="48" t="s">
        <v>182</v>
      </c>
      <c r="R25" s="62" t="s">
        <v>183</v>
      </c>
      <c r="S25" s="233" t="s">
        <v>19</v>
      </c>
    </row>
    <row r="26" spans="1:19" s="549" customFormat="1" ht="315">
      <c r="A26" s="48" t="s">
        <v>182</v>
      </c>
      <c r="B26" s="62" t="s">
        <v>183</v>
      </c>
      <c r="C26" s="233" t="s">
        <v>19</v>
      </c>
      <c r="D26" s="36" t="s">
        <v>189</v>
      </c>
      <c r="E26" s="21" t="s">
        <v>132</v>
      </c>
      <c r="F26" s="21" t="s">
        <v>180</v>
      </c>
      <c r="G26" s="21" t="s">
        <v>190</v>
      </c>
      <c r="H26" s="565"/>
      <c r="I26" s="377" t="s">
        <v>588</v>
      </c>
      <c r="J26" s="18">
        <v>40</v>
      </c>
      <c r="K26" s="18">
        <v>50</v>
      </c>
      <c r="L26" s="18">
        <v>65</v>
      </c>
      <c r="M26" s="18">
        <v>70</v>
      </c>
      <c r="N26" s="51">
        <v>75</v>
      </c>
      <c r="O26" s="442">
        <v>80</v>
      </c>
      <c r="P26" s="237" t="s">
        <v>180</v>
      </c>
      <c r="Q26" s="48" t="s">
        <v>182</v>
      </c>
      <c r="R26" s="62" t="s">
        <v>183</v>
      </c>
      <c r="S26" s="233" t="s">
        <v>19</v>
      </c>
    </row>
    <row r="27" spans="1:19" s="1" customFormat="1" ht="210">
      <c r="A27" s="48"/>
      <c r="B27" s="62" t="s">
        <v>192</v>
      </c>
      <c r="C27" s="233" t="s">
        <v>19</v>
      </c>
      <c r="D27" s="36" t="s">
        <v>193</v>
      </c>
      <c r="E27" s="21" t="s">
        <v>194</v>
      </c>
      <c r="F27" s="21" t="s">
        <v>195</v>
      </c>
      <c r="G27" s="23" t="s">
        <v>196</v>
      </c>
      <c r="H27" s="563"/>
      <c r="I27" s="537" t="s">
        <v>589</v>
      </c>
      <c r="J27" s="192" t="s">
        <v>34</v>
      </c>
      <c r="K27" s="192">
        <v>3</v>
      </c>
      <c r="L27" s="192">
        <v>10</v>
      </c>
      <c r="M27" s="192">
        <v>12</v>
      </c>
      <c r="N27" s="217">
        <v>14</v>
      </c>
      <c r="O27" s="590">
        <v>15</v>
      </c>
      <c r="P27" s="457" t="s">
        <v>195</v>
      </c>
      <c r="Q27" s="48"/>
      <c r="R27" s="62" t="s">
        <v>192</v>
      </c>
      <c r="S27" s="233" t="s">
        <v>19</v>
      </c>
    </row>
    <row r="28" spans="1:19" s="1" customFormat="1" ht="26.25">
      <c r="A28" s="48"/>
      <c r="B28" s="62"/>
      <c r="C28" s="235"/>
      <c r="D28" s="907" t="s">
        <v>198</v>
      </c>
      <c r="E28" s="876"/>
      <c r="F28" s="876"/>
      <c r="G28" s="876"/>
      <c r="H28" s="876"/>
      <c r="I28" s="876"/>
      <c r="J28" s="876"/>
      <c r="K28" s="876"/>
      <c r="L28" s="876"/>
      <c r="M28" s="876"/>
      <c r="N28" s="876"/>
      <c r="O28" s="955"/>
      <c r="P28" s="592"/>
      <c r="Q28" s="48"/>
      <c r="R28" s="62"/>
      <c r="S28" s="235"/>
    </row>
    <row r="29" spans="1:19" s="1" customFormat="1" ht="308.25" customHeight="1">
      <c r="A29" s="48" t="s">
        <v>178</v>
      </c>
      <c r="B29" s="62" t="s">
        <v>199</v>
      </c>
      <c r="C29" s="233" t="s">
        <v>19</v>
      </c>
      <c r="D29" s="900" t="s">
        <v>200</v>
      </c>
      <c r="E29" s="882" t="s">
        <v>201</v>
      </c>
      <c r="F29" s="882" t="s">
        <v>202</v>
      </c>
      <c r="G29" s="1045" t="s">
        <v>579</v>
      </c>
      <c r="H29" s="563" t="s">
        <v>590</v>
      </c>
      <c r="I29" s="537"/>
      <c r="J29" s="192" t="s">
        <v>34</v>
      </c>
      <c r="K29" s="192" t="s">
        <v>34</v>
      </c>
      <c r="L29" s="192">
        <v>2</v>
      </c>
      <c r="M29" s="192">
        <v>5</v>
      </c>
      <c r="N29" s="217">
        <v>8</v>
      </c>
      <c r="O29" s="590">
        <v>10</v>
      </c>
      <c r="P29" s="457" t="s">
        <v>204</v>
      </c>
      <c r="Q29" s="48" t="s">
        <v>178</v>
      </c>
      <c r="R29" s="62" t="s">
        <v>199</v>
      </c>
      <c r="S29" s="233" t="s">
        <v>19</v>
      </c>
    </row>
    <row r="30" spans="1:19" s="1" customFormat="1" ht="240.75" customHeight="1">
      <c r="A30" s="48" t="s">
        <v>178</v>
      </c>
      <c r="B30" s="62" t="s">
        <v>199</v>
      </c>
      <c r="C30" s="233" t="s">
        <v>19</v>
      </c>
      <c r="D30" s="901"/>
      <c r="E30" s="884"/>
      <c r="F30" s="884"/>
      <c r="G30" s="1046"/>
      <c r="H30" s="563"/>
      <c r="I30" s="537" t="s">
        <v>591</v>
      </c>
      <c r="J30" s="192" t="s">
        <v>34</v>
      </c>
      <c r="K30" s="192" t="s">
        <v>34</v>
      </c>
      <c r="L30" s="192">
        <v>3</v>
      </c>
      <c r="M30" s="192">
        <v>6</v>
      </c>
      <c r="N30" s="217">
        <v>8</v>
      </c>
      <c r="O30" s="590">
        <v>10</v>
      </c>
      <c r="P30" s="457" t="s">
        <v>204</v>
      </c>
      <c r="Q30" s="48" t="s">
        <v>178</v>
      </c>
      <c r="R30" s="62" t="s">
        <v>199</v>
      </c>
      <c r="S30" s="233" t="s">
        <v>19</v>
      </c>
    </row>
    <row r="31" spans="1:19" s="1" customFormat="1" ht="26.25">
      <c r="A31" s="48"/>
      <c r="B31" s="62"/>
      <c r="C31" s="235"/>
      <c r="D31" s="566" t="s">
        <v>3</v>
      </c>
      <c r="E31" s="956" t="s">
        <v>206</v>
      </c>
      <c r="F31" s="956"/>
      <c r="G31" s="956"/>
      <c r="H31" s="956"/>
      <c r="I31" s="956"/>
      <c r="J31" s="956"/>
      <c r="K31" s="956"/>
      <c r="L31" s="956"/>
      <c r="M31" s="956"/>
      <c r="N31" s="956"/>
      <c r="O31" s="957"/>
      <c r="P31" s="593"/>
      <c r="Q31" s="48"/>
      <c r="R31" s="62"/>
      <c r="S31" s="235"/>
    </row>
    <row r="32" spans="1:19" s="1" customFormat="1" ht="26.25">
      <c r="A32" s="48"/>
      <c r="B32" s="62"/>
      <c r="C32" s="235"/>
      <c r="D32" s="907" t="s">
        <v>207</v>
      </c>
      <c r="E32" s="876"/>
      <c r="F32" s="876"/>
      <c r="G32" s="876"/>
      <c r="H32" s="876"/>
      <c r="I32" s="876"/>
      <c r="J32" s="876"/>
      <c r="K32" s="876"/>
      <c r="L32" s="876"/>
      <c r="M32" s="876"/>
      <c r="N32" s="876"/>
      <c r="O32" s="958"/>
      <c r="P32" s="592"/>
      <c r="Q32" s="48"/>
      <c r="R32" s="62"/>
      <c r="S32" s="235"/>
    </row>
    <row r="33" spans="1:19" s="1" customFormat="1" ht="409.5" customHeight="1">
      <c r="A33" s="48"/>
      <c r="B33" s="62"/>
      <c r="C33" s="233" t="s">
        <v>19</v>
      </c>
      <c r="D33" s="891" t="s">
        <v>208</v>
      </c>
      <c r="E33" s="567" t="s">
        <v>132</v>
      </c>
      <c r="F33" s="568" t="s">
        <v>180</v>
      </c>
      <c r="G33" s="569" t="s">
        <v>592</v>
      </c>
      <c r="H33" s="562" t="s">
        <v>593</v>
      </c>
      <c r="I33" s="377"/>
      <c r="J33" s="18" t="s">
        <v>34</v>
      </c>
      <c r="K33" s="18" t="s">
        <v>34</v>
      </c>
      <c r="L33" s="18" t="s">
        <v>34</v>
      </c>
      <c r="M33" s="18">
        <v>3</v>
      </c>
      <c r="N33" s="51">
        <v>4</v>
      </c>
      <c r="O33" s="442">
        <v>5</v>
      </c>
      <c r="P33" s="457" t="s">
        <v>180</v>
      </c>
      <c r="Q33" s="48"/>
      <c r="R33" s="62"/>
      <c r="S33" s="233" t="s">
        <v>19</v>
      </c>
    </row>
    <row r="34" spans="1:19" s="550" customFormat="1" ht="236.25">
      <c r="A34" s="48"/>
      <c r="B34" s="62"/>
      <c r="C34" s="233" t="s">
        <v>19</v>
      </c>
      <c r="D34" s="892"/>
      <c r="E34" s="191" t="s">
        <v>211</v>
      </c>
      <c r="F34" s="570" t="s">
        <v>212</v>
      </c>
      <c r="G34" s="571" t="s">
        <v>213</v>
      </c>
      <c r="H34" s="572"/>
      <c r="I34" s="594" t="s">
        <v>594</v>
      </c>
      <c r="J34" s="192" t="s">
        <v>34</v>
      </c>
      <c r="K34" s="18">
        <v>80</v>
      </c>
      <c r="L34" s="18">
        <v>85</v>
      </c>
      <c r="M34" s="18">
        <v>90</v>
      </c>
      <c r="N34" s="51">
        <v>92</v>
      </c>
      <c r="O34" s="442">
        <v>97</v>
      </c>
      <c r="P34" s="457" t="s">
        <v>137</v>
      </c>
      <c r="Q34" s="48"/>
      <c r="R34" s="62"/>
      <c r="S34" s="233" t="s">
        <v>19</v>
      </c>
    </row>
    <row r="35" spans="1:19" s="1" customFormat="1" ht="26.25">
      <c r="A35" s="48"/>
      <c r="B35" s="62"/>
      <c r="C35" s="235"/>
      <c r="D35" s="907" t="s">
        <v>215</v>
      </c>
      <c r="E35" s="876"/>
      <c r="F35" s="876"/>
      <c r="G35" s="876"/>
      <c r="H35" s="876"/>
      <c r="I35" s="876"/>
      <c r="J35" s="876"/>
      <c r="K35" s="876"/>
      <c r="L35" s="876"/>
      <c r="M35" s="876"/>
      <c r="N35" s="876"/>
      <c r="O35" s="955"/>
      <c r="P35" s="592"/>
      <c r="Q35" s="48"/>
      <c r="R35" s="62"/>
      <c r="S35" s="235"/>
    </row>
    <row r="36" spans="1:19" s="488" customFormat="1" ht="105">
      <c r="A36" s="394" t="s">
        <v>216</v>
      </c>
      <c r="B36" s="173" t="s">
        <v>217</v>
      </c>
      <c r="C36" s="437" t="s">
        <v>19</v>
      </c>
      <c r="D36" s="891" t="s">
        <v>218</v>
      </c>
      <c r="E36" s="882" t="s">
        <v>132</v>
      </c>
      <c r="F36" s="882" t="s">
        <v>180</v>
      </c>
      <c r="G36" s="882" t="s">
        <v>219</v>
      </c>
      <c r="H36" s="439" t="s">
        <v>595</v>
      </c>
      <c r="I36" s="595"/>
      <c r="J36" s="244" t="s">
        <v>34</v>
      </c>
      <c r="K36" s="244" t="s">
        <v>34</v>
      </c>
      <c r="L36" s="244">
        <v>8</v>
      </c>
      <c r="M36" s="244">
        <v>8</v>
      </c>
      <c r="N36" s="271">
        <v>9</v>
      </c>
      <c r="O36" s="442">
        <v>10</v>
      </c>
      <c r="P36" s="596" t="s">
        <v>180</v>
      </c>
      <c r="Q36" s="394" t="s">
        <v>216</v>
      </c>
      <c r="R36" s="173" t="s">
        <v>217</v>
      </c>
      <c r="S36" s="437" t="s">
        <v>19</v>
      </c>
    </row>
    <row r="37" spans="1:19" s="488" customFormat="1" ht="78.75">
      <c r="A37" s="394" t="s">
        <v>216</v>
      </c>
      <c r="B37" s="173" t="s">
        <v>217</v>
      </c>
      <c r="C37" s="437" t="s">
        <v>19</v>
      </c>
      <c r="D37" s="892"/>
      <c r="E37" s="883"/>
      <c r="F37" s="883"/>
      <c r="G37" s="883"/>
      <c r="H37" s="573"/>
      <c r="I37" s="597" t="s">
        <v>596</v>
      </c>
      <c r="J37" s="18">
        <v>10</v>
      </c>
      <c r="K37" s="18" t="s">
        <v>222</v>
      </c>
      <c r="L37" s="18" t="s">
        <v>223</v>
      </c>
      <c r="M37" s="18" t="s">
        <v>224</v>
      </c>
      <c r="N37" s="51" t="s">
        <v>225</v>
      </c>
      <c r="O37" s="442" t="s">
        <v>226</v>
      </c>
      <c r="P37" s="237" t="s">
        <v>180</v>
      </c>
      <c r="Q37" s="394" t="s">
        <v>216</v>
      </c>
      <c r="R37" s="173" t="s">
        <v>217</v>
      </c>
      <c r="S37" s="437" t="s">
        <v>19</v>
      </c>
    </row>
    <row r="38" spans="1:19" s="488" customFormat="1" ht="105">
      <c r="A38" s="394" t="s">
        <v>216</v>
      </c>
      <c r="B38" s="173" t="s">
        <v>217</v>
      </c>
      <c r="C38" s="437" t="s">
        <v>19</v>
      </c>
      <c r="D38" s="893"/>
      <c r="E38" s="884"/>
      <c r="F38" s="884"/>
      <c r="G38" s="884"/>
      <c r="H38" s="439"/>
      <c r="I38" s="380" t="s">
        <v>597</v>
      </c>
      <c r="J38" s="598">
        <v>1</v>
      </c>
      <c r="K38" s="598">
        <v>1</v>
      </c>
      <c r="L38" s="598">
        <v>1.5</v>
      </c>
      <c r="M38" s="598">
        <v>1.5</v>
      </c>
      <c r="N38" s="599">
        <v>2</v>
      </c>
      <c r="O38" s="442">
        <v>2</v>
      </c>
      <c r="P38" s="600" t="s">
        <v>180</v>
      </c>
      <c r="Q38" s="394" t="s">
        <v>216</v>
      </c>
      <c r="R38" s="173" t="s">
        <v>217</v>
      </c>
      <c r="S38" s="437" t="s">
        <v>19</v>
      </c>
    </row>
    <row r="39" spans="1:19" s="1" customFormat="1" ht="210">
      <c r="A39" s="400" t="s">
        <v>178</v>
      </c>
      <c r="B39" s="411" t="s">
        <v>169</v>
      </c>
      <c r="C39" s="233" t="s">
        <v>19</v>
      </c>
      <c r="D39" s="28" t="s">
        <v>228</v>
      </c>
      <c r="E39" s="19" t="s">
        <v>229</v>
      </c>
      <c r="F39" s="19" t="s">
        <v>180</v>
      </c>
      <c r="G39" s="19" t="s">
        <v>598</v>
      </c>
      <c r="H39" s="439" t="s">
        <v>599</v>
      </c>
      <c r="I39" s="601"/>
      <c r="J39" s="244" t="s">
        <v>34</v>
      </c>
      <c r="K39" s="244" t="s">
        <v>34</v>
      </c>
      <c r="L39" s="602">
        <v>1</v>
      </c>
      <c r="M39" s="602">
        <v>1</v>
      </c>
      <c r="N39" s="603">
        <v>2</v>
      </c>
      <c r="O39" s="442">
        <v>3</v>
      </c>
      <c r="P39" s="604" t="s">
        <v>180</v>
      </c>
      <c r="Q39" s="400" t="s">
        <v>178</v>
      </c>
      <c r="R39" s="411" t="s">
        <v>169</v>
      </c>
      <c r="S39" s="233" t="s">
        <v>19</v>
      </c>
    </row>
    <row r="40" spans="1:19" s="1" customFormat="1" ht="26.25">
      <c r="A40" s="48"/>
      <c r="B40" s="62"/>
      <c r="C40" s="235"/>
      <c r="D40" s="199" t="s">
        <v>3</v>
      </c>
      <c r="E40" s="1043" t="s">
        <v>231</v>
      </c>
      <c r="F40" s="1043"/>
      <c r="G40" s="1043"/>
      <c r="H40" s="1043"/>
      <c r="I40" s="1043"/>
      <c r="J40" s="1043"/>
      <c r="K40" s="1043"/>
      <c r="L40" s="1043"/>
      <c r="M40" s="1043"/>
      <c r="N40" s="1043"/>
      <c r="O40" s="1044"/>
      <c r="P40" s="593"/>
      <c r="Q40" s="48"/>
      <c r="R40" s="62"/>
      <c r="S40" s="235"/>
    </row>
    <row r="41" spans="1:19" s="1" customFormat="1" ht="26.25">
      <c r="A41" s="48"/>
      <c r="B41" s="62"/>
      <c r="C41" s="235"/>
      <c r="D41" s="907" t="s">
        <v>232</v>
      </c>
      <c r="E41" s="876"/>
      <c r="F41" s="876"/>
      <c r="G41" s="876"/>
      <c r="H41" s="876"/>
      <c r="I41" s="876"/>
      <c r="J41" s="876"/>
      <c r="K41" s="876"/>
      <c r="L41" s="876"/>
      <c r="M41" s="876"/>
      <c r="N41" s="876"/>
      <c r="O41" s="877"/>
      <c r="P41" s="455"/>
      <c r="Q41" s="48"/>
      <c r="R41" s="62"/>
      <c r="S41" s="235"/>
    </row>
    <row r="42" spans="1:19" s="1" customFormat="1" ht="236.25">
      <c r="A42" s="48" t="s">
        <v>233</v>
      </c>
      <c r="B42" s="173"/>
      <c r="C42" s="437" t="s">
        <v>19</v>
      </c>
      <c r="D42" s="894" t="s">
        <v>234</v>
      </c>
      <c r="E42" s="188" t="s">
        <v>235</v>
      </c>
      <c r="F42" s="21" t="s">
        <v>236</v>
      </c>
      <c r="G42" s="21" t="s">
        <v>237</v>
      </c>
      <c r="H42" s="574" t="s">
        <v>238</v>
      </c>
      <c r="I42" s="380"/>
      <c r="J42" s="18">
        <v>0</v>
      </c>
      <c r="K42" s="18">
        <v>1</v>
      </c>
      <c r="L42" s="18">
        <v>1</v>
      </c>
      <c r="M42" s="18">
        <v>3</v>
      </c>
      <c r="N42" s="18">
        <v>4</v>
      </c>
      <c r="O42" s="456">
        <v>5</v>
      </c>
      <c r="P42" s="237" t="s">
        <v>239</v>
      </c>
      <c r="Q42" s="48" t="s">
        <v>233</v>
      </c>
      <c r="R42" s="62"/>
      <c r="S42" s="233" t="s">
        <v>19</v>
      </c>
    </row>
    <row r="43" spans="1:19" s="1" customFormat="1" ht="236.25">
      <c r="A43" s="48" t="s">
        <v>233</v>
      </c>
      <c r="B43" s="173"/>
      <c r="C43" s="437" t="s">
        <v>19</v>
      </c>
      <c r="D43" s="894"/>
      <c r="E43" s="188" t="s">
        <v>240</v>
      </c>
      <c r="F43" s="21" t="s">
        <v>241</v>
      </c>
      <c r="G43" s="21" t="s">
        <v>242</v>
      </c>
      <c r="H43" s="439"/>
      <c r="I43" s="605" t="s">
        <v>243</v>
      </c>
      <c r="J43" s="18" t="s">
        <v>34</v>
      </c>
      <c r="K43" s="18" t="s">
        <v>34</v>
      </c>
      <c r="L43" s="18" t="s">
        <v>34</v>
      </c>
      <c r="M43" s="18">
        <v>5</v>
      </c>
      <c r="N43" s="18">
        <v>7</v>
      </c>
      <c r="O43" s="456">
        <v>10</v>
      </c>
      <c r="P43" s="237" t="s">
        <v>244</v>
      </c>
      <c r="Q43" s="48" t="s">
        <v>233</v>
      </c>
      <c r="R43" s="62"/>
      <c r="S43" s="233" t="s">
        <v>19</v>
      </c>
    </row>
    <row r="44" spans="1:19" s="549" customFormat="1" ht="210">
      <c r="A44" s="575"/>
      <c r="B44" s="576" t="s">
        <v>245</v>
      </c>
      <c r="C44" s="577" t="s">
        <v>19</v>
      </c>
      <c r="D44" s="26" t="s">
        <v>246</v>
      </c>
      <c r="E44" s="15" t="s">
        <v>247</v>
      </c>
      <c r="F44" s="19" t="s">
        <v>248</v>
      </c>
      <c r="G44" s="19" t="s">
        <v>249</v>
      </c>
      <c r="H44" s="574" t="s">
        <v>250</v>
      </c>
      <c r="I44" s="601"/>
      <c r="J44" s="18">
        <v>5</v>
      </c>
      <c r="K44" s="18">
        <v>10</v>
      </c>
      <c r="L44" s="18">
        <v>15</v>
      </c>
      <c r="M44" s="18">
        <v>15</v>
      </c>
      <c r="N44" s="51">
        <v>20</v>
      </c>
      <c r="O44" s="442">
        <v>25</v>
      </c>
      <c r="P44" s="604" t="s">
        <v>195</v>
      </c>
      <c r="Q44" s="575"/>
      <c r="R44" s="609" t="s">
        <v>245</v>
      </c>
      <c r="S44" s="610" t="s">
        <v>19</v>
      </c>
    </row>
    <row r="45" spans="1:19" s="1" customFormat="1" ht="144" customHeight="1">
      <c r="A45" s="523"/>
      <c r="B45" s="467" t="s">
        <v>245</v>
      </c>
      <c r="C45" s="578" t="s">
        <v>19</v>
      </c>
      <c r="D45" s="579" t="s">
        <v>251</v>
      </c>
      <c r="E45" s="470" t="s">
        <v>252</v>
      </c>
      <c r="F45" s="470" t="s">
        <v>180</v>
      </c>
      <c r="G45" s="470" t="s">
        <v>253</v>
      </c>
      <c r="H45" s="580" t="s">
        <v>254</v>
      </c>
      <c r="I45" s="606"/>
      <c r="J45" s="384">
        <v>0</v>
      </c>
      <c r="K45" s="384">
        <v>12</v>
      </c>
      <c r="L45" s="384">
        <v>25</v>
      </c>
      <c r="M45" s="384">
        <v>30</v>
      </c>
      <c r="N45" s="384">
        <v>35</v>
      </c>
      <c r="O45" s="607">
        <v>40</v>
      </c>
      <c r="P45" s="608" t="s">
        <v>180</v>
      </c>
      <c r="Q45" s="523"/>
      <c r="R45" s="524" t="s">
        <v>245</v>
      </c>
      <c r="S45" s="525" t="s">
        <v>19</v>
      </c>
    </row>
    <row r="46" spans="1:19" s="86" customFormat="1" ht="22.5">
      <c r="A46" s="581"/>
      <c r="B46" s="582"/>
      <c r="C46" s="583"/>
      <c r="D46" s="72"/>
      <c r="E46" s="72"/>
      <c r="F46" s="72"/>
      <c r="G46" s="72"/>
      <c r="H46" s="72"/>
      <c r="I46" s="72"/>
      <c r="J46" s="530"/>
      <c r="K46" s="530"/>
      <c r="L46" s="530"/>
      <c r="M46" s="531"/>
      <c r="N46" s="72"/>
      <c r="O46" s="72"/>
      <c r="P46" s="72"/>
      <c r="Q46" s="581"/>
      <c r="R46" s="582"/>
      <c r="S46" s="583"/>
    </row>
    <row r="47" spans="1:19" s="86" customFormat="1" ht="22.5">
      <c r="A47" s="581"/>
      <c r="B47" s="582"/>
      <c r="C47" s="583"/>
      <c r="D47" s="72">
        <v>10</v>
      </c>
      <c r="E47" s="72" t="s">
        <v>600</v>
      </c>
      <c r="F47" s="72"/>
      <c r="G47" s="584" t="s">
        <v>564</v>
      </c>
      <c r="H47" s="585">
        <v>10</v>
      </c>
      <c r="I47" s="585"/>
      <c r="J47" s="530"/>
      <c r="K47" s="530"/>
      <c r="L47" s="530"/>
      <c r="M47" s="531"/>
      <c r="N47" s="72"/>
      <c r="O47" s="72"/>
      <c r="P47" s="72"/>
      <c r="Q47" s="581"/>
      <c r="R47" s="582"/>
      <c r="S47" s="583"/>
    </row>
    <row r="48" spans="1:19" s="86" customFormat="1" ht="22.5">
      <c r="A48" s="581"/>
      <c r="B48" s="582"/>
      <c r="C48" s="583"/>
      <c r="D48" s="72"/>
      <c r="E48" s="72"/>
      <c r="F48" s="72"/>
      <c r="G48" s="145" t="s">
        <v>565</v>
      </c>
      <c r="H48" s="146">
        <v>10</v>
      </c>
      <c r="I48" s="146"/>
      <c r="J48" s="530"/>
      <c r="K48" s="530"/>
      <c r="L48" s="530"/>
      <c r="M48" s="531"/>
      <c r="N48" s="72"/>
      <c r="O48" s="72"/>
      <c r="P48" s="72"/>
      <c r="Q48" s="581"/>
      <c r="R48" s="582"/>
      <c r="S48" s="583"/>
    </row>
    <row r="49" spans="1:19" s="86" customFormat="1" ht="22.5">
      <c r="A49" s="581"/>
      <c r="B49" s="582"/>
      <c r="C49" s="583"/>
      <c r="D49" s="72"/>
      <c r="E49" s="72"/>
      <c r="F49" s="72"/>
      <c r="G49" s="73" t="s">
        <v>566</v>
      </c>
      <c r="H49" s="147">
        <f>H47+H48</f>
        <v>20</v>
      </c>
      <c r="I49" s="147"/>
      <c r="J49" s="530"/>
      <c r="K49" s="530"/>
      <c r="L49" s="530"/>
      <c r="M49" s="531"/>
      <c r="N49" s="72"/>
      <c r="O49" s="72"/>
      <c r="P49" s="72"/>
      <c r="Q49" s="581"/>
      <c r="R49" s="582"/>
      <c r="S49" s="583"/>
    </row>
  </sheetData>
  <mergeCells count="51">
    <mergeCell ref="D1:S1"/>
    <mergeCell ref="E2:S2"/>
    <mergeCell ref="E3:S3"/>
    <mergeCell ref="E4:S4"/>
    <mergeCell ref="E5:S5"/>
    <mergeCell ref="E7:S7"/>
    <mergeCell ref="E8:S8"/>
    <mergeCell ref="E9:S9"/>
    <mergeCell ref="E10:S10"/>
    <mergeCell ref="E12:S12"/>
    <mergeCell ref="E40:O40"/>
    <mergeCell ref="G29:G30"/>
    <mergeCell ref="G36:G38"/>
    <mergeCell ref="E13:S13"/>
    <mergeCell ref="E15:P15"/>
    <mergeCell ref="E16:O16"/>
    <mergeCell ref="J17:O17"/>
    <mergeCell ref="D19:O19"/>
    <mergeCell ref="H17:H18"/>
    <mergeCell ref="I17:I18"/>
    <mergeCell ref="P17:P18"/>
    <mergeCell ref="Q17:Q18"/>
    <mergeCell ref="R17:R18"/>
    <mergeCell ref="S17:S18"/>
    <mergeCell ref="G17:G18"/>
    <mergeCell ref="G21:G23"/>
    <mergeCell ref="D28:O28"/>
    <mergeCell ref="E31:O31"/>
    <mergeCell ref="D32:O32"/>
    <mergeCell ref="D36:D38"/>
    <mergeCell ref="F17:F18"/>
    <mergeCell ref="F20:F23"/>
    <mergeCell ref="F29:F30"/>
    <mergeCell ref="F36:F38"/>
    <mergeCell ref="D35:O35"/>
    <mergeCell ref="A15:C16"/>
    <mergeCell ref="Q15:S16"/>
    <mergeCell ref="D42:D43"/>
    <mergeCell ref="E17:E18"/>
    <mergeCell ref="E20:E23"/>
    <mergeCell ref="E29:E30"/>
    <mergeCell ref="E36:E38"/>
    <mergeCell ref="D41:O41"/>
    <mergeCell ref="A17:A18"/>
    <mergeCell ref="B17:B18"/>
    <mergeCell ref="C17:C18"/>
    <mergeCell ref="D17:D18"/>
    <mergeCell ref="D20:D23"/>
    <mergeCell ref="D24:D25"/>
    <mergeCell ref="D29:D30"/>
    <mergeCell ref="D33:D34"/>
  </mergeCells>
  <pageMargins left="0.7" right="0.7" top="0.75" bottom="0.75" header="0.3" footer="0.3"/>
  <pageSetup paperSize="9" scale="44" fitToHeight="0" orientation="landscape" r:id="rId1"/>
  <rowBreaks count="4" manualBreakCount="4">
    <brk id="25" max="16383" man="1"/>
    <brk id="30" max="16383" man="1"/>
    <brk id="34" max="16383" man="1"/>
    <brk id="3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pageSetUpPr fitToPage="1"/>
  </sheetPr>
  <dimension ref="A1:S37"/>
  <sheetViews>
    <sheetView view="pageBreakPreview" zoomScale="70" zoomScaleNormal="70" workbookViewId="0">
      <selection activeCell="E28" sqref="E28:O28"/>
    </sheetView>
  </sheetViews>
  <sheetFormatPr defaultColWidth="13.125" defaultRowHeight="14.25"/>
  <cols>
    <col min="1" max="3" width="10.125" style="485" customWidth="1"/>
    <col min="4" max="4" width="25.75" style="486" customWidth="1"/>
    <col min="5" max="5" width="20.25" style="486" customWidth="1"/>
    <col min="6" max="6" width="25.375" style="486" customWidth="1"/>
    <col min="7" max="7" width="29.625" style="486" customWidth="1"/>
    <col min="8" max="8" width="32.25" style="486" customWidth="1"/>
    <col min="9" max="9" width="29.75" style="486" customWidth="1"/>
    <col min="10" max="15" width="9.75" style="486" customWidth="1"/>
    <col min="16" max="16" width="25.375" style="486" customWidth="1"/>
    <col min="17" max="19" width="10.125" style="485" hidden="1" customWidth="1"/>
    <col min="20" max="33" width="8.375" style="486" customWidth="1"/>
    <col min="34" max="16384" width="13.125" style="486"/>
  </cols>
  <sheetData>
    <row r="1" spans="1:19" s="86" customFormat="1" ht="62.1" customHeight="1">
      <c r="D1" s="1082" t="s">
        <v>601</v>
      </c>
      <c r="E1" s="1083"/>
      <c r="F1" s="1083"/>
      <c r="G1" s="1083"/>
      <c r="H1" s="1083"/>
      <c r="I1" s="1083"/>
      <c r="J1" s="1083"/>
      <c r="K1" s="1083"/>
      <c r="L1" s="1083"/>
      <c r="M1" s="1083"/>
      <c r="N1" s="1083"/>
      <c r="O1" s="1083"/>
      <c r="P1" s="1083"/>
      <c r="Q1" s="1083"/>
      <c r="R1" s="1083"/>
      <c r="S1" s="1084"/>
    </row>
    <row r="2" spans="1:19" s="87" customFormat="1" ht="30" customHeight="1">
      <c r="D2" s="91" t="s">
        <v>519</v>
      </c>
      <c r="E2" s="1061" t="s">
        <v>602</v>
      </c>
      <c r="F2" s="1061"/>
      <c r="G2" s="1061"/>
      <c r="H2" s="1061"/>
      <c r="I2" s="1061"/>
      <c r="J2" s="1061"/>
      <c r="K2" s="1061"/>
      <c r="L2" s="1061"/>
      <c r="M2" s="1061"/>
      <c r="N2" s="1061"/>
      <c r="O2" s="1061"/>
      <c r="P2" s="1061"/>
      <c r="Q2" s="1061"/>
      <c r="R2" s="1061"/>
      <c r="S2" s="1062"/>
    </row>
    <row r="3" spans="1:19" s="87" customFormat="1" ht="20.100000000000001" customHeight="1">
      <c r="A3" s="8"/>
      <c r="B3" s="8"/>
      <c r="C3" s="38"/>
      <c r="D3" s="91"/>
      <c r="E3" s="7"/>
      <c r="F3" s="7"/>
      <c r="G3" s="7"/>
      <c r="H3" s="7"/>
      <c r="I3" s="7"/>
      <c r="J3" s="7"/>
      <c r="K3" s="7"/>
      <c r="L3" s="7"/>
      <c r="M3" s="7"/>
      <c r="N3" s="7"/>
      <c r="O3" s="7"/>
      <c r="P3" s="7"/>
      <c r="Q3" s="8"/>
      <c r="R3" s="8"/>
      <c r="S3" s="38"/>
    </row>
    <row r="4" spans="1:19" s="86" customFormat="1" ht="22.5" customHeight="1">
      <c r="D4" s="6" t="s">
        <v>521</v>
      </c>
      <c r="E4" s="1028" t="s">
        <v>603</v>
      </c>
      <c r="F4" s="1029"/>
      <c r="G4" s="1029"/>
      <c r="H4" s="1029"/>
      <c r="I4" s="1029"/>
      <c r="J4" s="1029"/>
      <c r="K4" s="1029"/>
      <c r="L4" s="1029"/>
      <c r="M4" s="1029"/>
      <c r="N4" s="1029"/>
      <c r="O4" s="1029"/>
      <c r="P4" s="1029"/>
      <c r="Q4" s="1029"/>
      <c r="R4" s="1029"/>
      <c r="S4" s="1030"/>
    </row>
    <row r="5" spans="1:19" s="86" customFormat="1" ht="22.5" customHeight="1">
      <c r="A5" s="64"/>
      <c r="B5" s="64"/>
      <c r="C5" s="348"/>
      <c r="D5" s="9"/>
      <c r="E5" s="1085" t="s">
        <v>604</v>
      </c>
      <c r="F5" s="1086"/>
      <c r="G5" s="1086"/>
      <c r="H5" s="1086"/>
      <c r="I5" s="1086"/>
      <c r="J5" s="1086"/>
      <c r="K5" s="1086"/>
      <c r="L5" s="389"/>
      <c r="M5" s="389"/>
      <c r="N5" s="389"/>
      <c r="O5" s="389"/>
      <c r="P5" s="389"/>
      <c r="Q5" s="392"/>
      <c r="R5" s="392"/>
      <c r="S5" s="458"/>
    </row>
    <row r="6" spans="1:19" s="86" customFormat="1" ht="22.5" customHeight="1">
      <c r="A6" s="83"/>
      <c r="B6" s="83"/>
      <c r="C6" s="149"/>
      <c r="D6" s="9"/>
      <c r="E6" s="1028" t="s">
        <v>605</v>
      </c>
      <c r="F6" s="1029"/>
      <c r="G6" s="1029"/>
      <c r="H6" s="1029"/>
      <c r="I6" s="1029"/>
      <c r="J6" s="1029"/>
      <c r="K6" s="1029"/>
      <c r="L6" s="390"/>
      <c r="M6" s="390"/>
      <c r="N6" s="390"/>
      <c r="O6" s="390"/>
      <c r="P6" s="390"/>
      <c r="Q6" s="547"/>
      <c r="R6" s="547"/>
      <c r="S6" s="548"/>
    </row>
    <row r="7" spans="1:19" s="86" customFormat="1" ht="22.5" customHeight="1">
      <c r="A7" s="83"/>
      <c r="B7" s="83"/>
      <c r="C7" s="149"/>
      <c r="D7" s="9"/>
      <c r="E7" s="487"/>
      <c r="F7" s="487"/>
      <c r="G7" s="488"/>
      <c r="H7" s="390"/>
      <c r="I7" s="390"/>
      <c r="J7" s="390"/>
      <c r="K7" s="390"/>
      <c r="L7" s="390"/>
      <c r="M7" s="390"/>
      <c r="N7" s="390"/>
      <c r="O7" s="390"/>
      <c r="P7" s="390"/>
      <c r="Q7" s="547"/>
      <c r="R7" s="547"/>
      <c r="S7" s="548"/>
    </row>
    <row r="8" spans="1:19" s="86" customFormat="1" ht="22.5" customHeight="1">
      <c r="D8" s="11" t="s">
        <v>526</v>
      </c>
      <c r="E8" s="1014" t="s">
        <v>606</v>
      </c>
      <c r="F8" s="1015"/>
      <c r="G8" s="1015"/>
      <c r="H8" s="1015"/>
      <c r="I8" s="1015"/>
      <c r="J8" s="1015"/>
      <c r="K8" s="1015"/>
      <c r="L8" s="1015"/>
      <c r="M8" s="1015"/>
      <c r="N8" s="1015"/>
      <c r="O8" s="1015"/>
      <c r="P8" s="1015"/>
      <c r="Q8" s="1015"/>
      <c r="R8" s="1015"/>
      <c r="S8" s="1016"/>
    </row>
    <row r="9" spans="1:19" s="86" customFormat="1" ht="22.5" customHeight="1">
      <c r="A9" s="83"/>
      <c r="B9" s="83"/>
      <c r="C9" s="149"/>
      <c r="D9" s="9"/>
      <c r="E9" s="1025" t="s">
        <v>607</v>
      </c>
      <c r="F9" s="1026"/>
      <c r="G9" s="1026"/>
      <c r="H9" s="1026"/>
      <c r="I9" s="1026"/>
      <c r="J9" s="1026"/>
      <c r="K9" s="1026"/>
      <c r="L9" s="2"/>
      <c r="M9" s="2"/>
      <c r="N9" s="2"/>
      <c r="O9" s="2"/>
      <c r="P9" s="2"/>
      <c r="Q9" s="83"/>
      <c r="R9" s="83"/>
      <c r="S9" s="149"/>
    </row>
    <row r="10" spans="1:19" s="86" customFormat="1" ht="22.5" customHeight="1">
      <c r="A10" s="64"/>
      <c r="B10" s="64"/>
      <c r="C10" s="348"/>
      <c r="D10" s="9"/>
      <c r="E10" s="1014" t="s">
        <v>608</v>
      </c>
      <c r="F10" s="1015"/>
      <c r="G10" s="1015"/>
      <c r="H10" s="1015"/>
      <c r="I10" s="1015"/>
      <c r="J10" s="1015"/>
      <c r="K10" s="1015"/>
      <c r="L10" s="10"/>
      <c r="M10" s="10"/>
      <c r="N10" s="10"/>
      <c r="O10" s="10"/>
      <c r="P10" s="10"/>
      <c r="Q10" s="64"/>
      <c r="R10" s="64"/>
      <c r="S10" s="348"/>
    </row>
    <row r="11" spans="1:19" s="86" customFormat="1" ht="22.5" customHeight="1">
      <c r="A11" s="64"/>
      <c r="B11" s="64"/>
      <c r="C11" s="348"/>
      <c r="D11" s="9"/>
      <c r="E11" s="1014" t="s">
        <v>609</v>
      </c>
      <c r="F11" s="1015"/>
      <c r="G11" s="1015"/>
      <c r="H11" s="1015"/>
      <c r="I11" s="1015"/>
      <c r="J11" s="1015"/>
      <c r="K11" s="1015"/>
      <c r="L11" s="10"/>
      <c r="M11" s="10"/>
      <c r="N11" s="10"/>
      <c r="O11" s="10"/>
      <c r="P11" s="10"/>
      <c r="Q11" s="64"/>
      <c r="R11" s="64"/>
      <c r="S11" s="348"/>
    </row>
    <row r="12" spans="1:19" s="86" customFormat="1" ht="22.5" customHeight="1">
      <c r="A12" s="83"/>
      <c r="B12" s="83"/>
      <c r="C12" s="149"/>
      <c r="D12" s="9"/>
      <c r="E12" s="489"/>
      <c r="F12" s="489"/>
      <c r="G12" s="2"/>
      <c r="H12" s="2"/>
      <c r="I12" s="2"/>
      <c r="J12" s="2"/>
      <c r="K12" s="2"/>
      <c r="L12" s="2"/>
      <c r="M12" s="2"/>
      <c r="N12" s="2"/>
      <c r="O12" s="2"/>
      <c r="P12" s="2"/>
      <c r="Q12" s="83"/>
      <c r="R12" s="83"/>
      <c r="S12" s="149"/>
    </row>
    <row r="13" spans="1:19" s="86" customFormat="1" ht="26.1" customHeight="1">
      <c r="D13" s="9" t="s">
        <v>531</v>
      </c>
      <c r="E13" s="1015" t="s">
        <v>610</v>
      </c>
      <c r="F13" s="1015"/>
      <c r="G13" s="1015"/>
      <c r="H13" s="1015"/>
      <c r="I13" s="1015"/>
      <c r="J13" s="1015"/>
      <c r="K13" s="1015"/>
      <c r="L13" s="1015"/>
      <c r="M13" s="1015"/>
      <c r="N13" s="1015"/>
      <c r="O13" s="1015"/>
      <c r="P13" s="1015"/>
      <c r="Q13" s="1015"/>
      <c r="R13" s="1015"/>
      <c r="S13" s="1016"/>
    </row>
    <row r="14" spans="1:19" s="86" customFormat="1" ht="26.1" customHeight="1">
      <c r="D14" s="9"/>
      <c r="E14" s="1015" t="s">
        <v>611</v>
      </c>
      <c r="F14" s="1015"/>
      <c r="G14" s="1015"/>
      <c r="H14" s="1015"/>
      <c r="I14" s="1015"/>
      <c r="J14" s="1015"/>
      <c r="K14" s="1015"/>
      <c r="L14" s="1015"/>
      <c r="M14" s="1015"/>
      <c r="N14" s="1015"/>
      <c r="O14" s="1015"/>
      <c r="P14" s="1015"/>
      <c r="Q14" s="1015"/>
      <c r="R14" s="1015"/>
      <c r="S14" s="1016"/>
    </row>
    <row r="15" spans="1:19" s="86" customFormat="1" ht="22.5" customHeight="1">
      <c r="A15" s="64"/>
      <c r="B15" s="64"/>
      <c r="C15" s="348"/>
      <c r="D15" s="12"/>
      <c r="E15" s="1025" t="s">
        <v>612</v>
      </c>
      <c r="F15" s="1026"/>
      <c r="G15" s="1026"/>
      <c r="H15" s="1026"/>
      <c r="I15" s="1026"/>
      <c r="J15" s="1026"/>
      <c r="K15" s="1026"/>
      <c r="L15" s="489"/>
      <c r="M15" s="489"/>
      <c r="N15" s="489"/>
      <c r="O15" s="489"/>
      <c r="P15" s="489"/>
      <c r="Q15" s="64"/>
      <c r="R15" s="64"/>
      <c r="S15" s="348"/>
    </row>
    <row r="16" spans="1:19" s="86" customFormat="1" ht="22.5" customHeight="1">
      <c r="A16" s="490"/>
      <c r="B16" s="490"/>
      <c r="C16" s="491"/>
      <c r="D16" s="492"/>
      <c r="E16" s="72"/>
      <c r="F16" s="72"/>
      <c r="G16" s="72"/>
      <c r="H16" s="72"/>
      <c r="I16" s="72"/>
      <c r="J16" s="530"/>
      <c r="K16" s="530"/>
      <c r="L16" s="531"/>
      <c r="M16" s="531"/>
      <c r="N16" s="72"/>
      <c r="O16" s="72"/>
      <c r="P16" s="72"/>
      <c r="Q16" s="490"/>
      <c r="R16" s="490"/>
      <c r="S16" s="491"/>
    </row>
    <row r="17" spans="1:19" s="1" customFormat="1" ht="26.25">
      <c r="A17" s="817" t="s">
        <v>0</v>
      </c>
      <c r="B17" s="818"/>
      <c r="C17" s="819"/>
      <c r="D17" s="1081" t="s">
        <v>255</v>
      </c>
      <c r="E17" s="1063" t="s">
        <v>256</v>
      </c>
      <c r="F17" s="1064"/>
      <c r="G17" s="1064"/>
      <c r="H17" s="1064"/>
      <c r="I17" s="1064"/>
      <c r="J17" s="1064"/>
      <c r="K17" s="1064"/>
      <c r="L17" s="1064"/>
      <c r="M17" s="1064"/>
      <c r="N17" s="1064"/>
      <c r="O17" s="1064"/>
      <c r="P17" s="1065"/>
      <c r="Q17" s="817" t="s">
        <v>0</v>
      </c>
      <c r="R17" s="818"/>
      <c r="S17" s="819"/>
    </row>
    <row r="18" spans="1:19" s="1" customFormat="1" ht="26.25">
      <c r="A18" s="820"/>
      <c r="B18" s="809"/>
      <c r="C18" s="821"/>
      <c r="D18" s="1075"/>
      <c r="E18" s="1066"/>
      <c r="F18" s="1067"/>
      <c r="G18" s="1067"/>
      <c r="H18" s="1067"/>
      <c r="I18" s="1067"/>
      <c r="J18" s="1067"/>
      <c r="K18" s="1067"/>
      <c r="L18" s="1067"/>
      <c r="M18" s="1067"/>
      <c r="N18" s="1067"/>
      <c r="O18" s="1067"/>
      <c r="P18" s="1068"/>
      <c r="Q18" s="820"/>
      <c r="R18" s="809"/>
      <c r="S18" s="821"/>
    </row>
    <row r="19" spans="1:19" s="1" customFormat="1" ht="26.25">
      <c r="A19" s="820"/>
      <c r="B19" s="809"/>
      <c r="C19" s="821"/>
      <c r="D19" s="249" t="s">
        <v>3</v>
      </c>
      <c r="E19" s="908" t="s">
        <v>257</v>
      </c>
      <c r="F19" s="909"/>
      <c r="G19" s="909"/>
      <c r="H19" s="909"/>
      <c r="I19" s="909"/>
      <c r="J19" s="909"/>
      <c r="K19" s="909"/>
      <c r="L19" s="909"/>
      <c r="M19" s="909"/>
      <c r="N19" s="909"/>
      <c r="O19" s="909"/>
      <c r="P19" s="910"/>
      <c r="Q19" s="820"/>
      <c r="R19" s="809"/>
      <c r="S19" s="821"/>
    </row>
    <row r="20" spans="1:19" s="1" customFormat="1" ht="26.25">
      <c r="A20" s="851" t="s">
        <v>5</v>
      </c>
      <c r="B20" s="920" t="s">
        <v>6</v>
      </c>
      <c r="C20" s="844" t="s">
        <v>7</v>
      </c>
      <c r="D20" s="1075" t="s">
        <v>8</v>
      </c>
      <c r="E20" s="1076" t="s">
        <v>9</v>
      </c>
      <c r="F20" s="1076" t="s">
        <v>166</v>
      </c>
      <c r="G20" s="1076" t="s">
        <v>11</v>
      </c>
      <c r="H20" s="1076" t="s">
        <v>12</v>
      </c>
      <c r="I20" s="1076" t="s">
        <v>13</v>
      </c>
      <c r="J20" s="1076" t="s">
        <v>14</v>
      </c>
      <c r="K20" s="1076"/>
      <c r="L20" s="1076"/>
      <c r="M20" s="1076"/>
      <c r="N20" s="1076"/>
      <c r="O20" s="1077"/>
      <c r="P20" s="1071" t="s">
        <v>15</v>
      </c>
      <c r="Q20" s="851" t="s">
        <v>5</v>
      </c>
      <c r="R20" s="920" t="s">
        <v>6</v>
      </c>
      <c r="S20" s="844" t="s">
        <v>7</v>
      </c>
    </row>
    <row r="21" spans="1:19" s="1" customFormat="1" ht="26.25">
      <c r="A21" s="851"/>
      <c r="B21" s="920"/>
      <c r="C21" s="844"/>
      <c r="D21" s="1075"/>
      <c r="E21" s="1076"/>
      <c r="F21" s="1076"/>
      <c r="G21" s="1076"/>
      <c r="H21" s="1076"/>
      <c r="I21" s="1076"/>
      <c r="J21" s="250">
        <v>65</v>
      </c>
      <c r="K21" s="250">
        <v>66</v>
      </c>
      <c r="L21" s="250">
        <v>67</v>
      </c>
      <c r="M21" s="250">
        <v>68</v>
      </c>
      <c r="N21" s="250">
        <v>69</v>
      </c>
      <c r="O21" s="279">
        <v>70</v>
      </c>
      <c r="P21" s="1072"/>
      <c r="Q21" s="851"/>
      <c r="R21" s="920"/>
      <c r="S21" s="844"/>
    </row>
    <row r="22" spans="1:19" s="1" customFormat="1" ht="26.25">
      <c r="A22" s="58"/>
      <c r="B22" s="49"/>
      <c r="C22" s="50"/>
      <c r="D22" s="1078" t="s">
        <v>258</v>
      </c>
      <c r="E22" s="1079"/>
      <c r="F22" s="1079"/>
      <c r="G22" s="1079"/>
      <c r="H22" s="1079"/>
      <c r="I22" s="1079"/>
      <c r="J22" s="1079"/>
      <c r="K22" s="1079"/>
      <c r="L22" s="1079"/>
      <c r="M22" s="1079"/>
      <c r="N22" s="1079"/>
      <c r="O22" s="1080"/>
      <c r="P22" s="204"/>
      <c r="Q22" s="58"/>
      <c r="R22" s="49"/>
      <c r="S22" s="50"/>
    </row>
    <row r="23" spans="1:19" s="1" customFormat="1" ht="201.75" customHeight="1">
      <c r="A23" s="48" t="s">
        <v>259</v>
      </c>
      <c r="B23" s="62" t="s">
        <v>260</v>
      </c>
      <c r="C23" s="233" t="s">
        <v>19</v>
      </c>
      <c r="D23" s="493" t="s">
        <v>261</v>
      </c>
      <c r="E23" s="494" t="s">
        <v>262</v>
      </c>
      <c r="F23" s="494" t="s">
        <v>263</v>
      </c>
      <c r="G23" s="495" t="s">
        <v>264</v>
      </c>
      <c r="H23" s="496" t="s">
        <v>613</v>
      </c>
      <c r="I23" s="532"/>
      <c r="J23" s="240" t="s">
        <v>34</v>
      </c>
      <c r="K23" s="240" t="s">
        <v>34</v>
      </c>
      <c r="L23" s="240">
        <v>1</v>
      </c>
      <c r="M23" s="240" t="s">
        <v>266</v>
      </c>
      <c r="N23" s="240" t="s">
        <v>266</v>
      </c>
      <c r="O23" s="263" t="s">
        <v>266</v>
      </c>
      <c r="P23" s="533" t="s">
        <v>263</v>
      </c>
      <c r="Q23" s="48" t="s">
        <v>259</v>
      </c>
      <c r="R23" s="62" t="s">
        <v>260</v>
      </c>
      <c r="S23" s="233" t="s">
        <v>19</v>
      </c>
    </row>
    <row r="24" spans="1:19" s="1" customFormat="1" ht="157.5">
      <c r="A24" s="48" t="s">
        <v>259</v>
      </c>
      <c r="B24" s="62" t="s">
        <v>267</v>
      </c>
      <c r="C24" s="233" t="s">
        <v>19</v>
      </c>
      <c r="D24" s="36" t="s">
        <v>268</v>
      </c>
      <c r="E24" s="21" t="s">
        <v>262</v>
      </c>
      <c r="F24" s="21" t="s">
        <v>263</v>
      </c>
      <c r="G24" s="23" t="s">
        <v>269</v>
      </c>
      <c r="H24" s="497"/>
      <c r="I24" s="377" t="s">
        <v>614</v>
      </c>
      <c r="J24" s="18" t="s">
        <v>34</v>
      </c>
      <c r="K24" s="18">
        <v>1</v>
      </c>
      <c r="L24" s="18">
        <v>1</v>
      </c>
      <c r="M24" s="18">
        <v>1</v>
      </c>
      <c r="N24" s="18">
        <v>1</v>
      </c>
      <c r="O24" s="18">
        <v>1</v>
      </c>
      <c r="P24" s="533" t="s">
        <v>263</v>
      </c>
      <c r="Q24" s="48" t="s">
        <v>259</v>
      </c>
      <c r="R24" s="62" t="s">
        <v>267</v>
      </c>
      <c r="S24" s="233" t="s">
        <v>19</v>
      </c>
    </row>
    <row r="25" spans="1:19" s="1" customFormat="1" ht="26.25">
      <c r="A25" s="58"/>
      <c r="B25" s="62"/>
      <c r="C25" s="50"/>
      <c r="D25" s="498" t="s">
        <v>3</v>
      </c>
      <c r="E25" s="908" t="s">
        <v>271</v>
      </c>
      <c r="F25" s="909"/>
      <c r="G25" s="909"/>
      <c r="H25" s="909"/>
      <c r="I25" s="909"/>
      <c r="J25" s="909"/>
      <c r="K25" s="909"/>
      <c r="L25" s="909"/>
      <c r="M25" s="909"/>
      <c r="N25" s="909"/>
      <c r="O25" s="909"/>
      <c r="P25" s="910"/>
      <c r="Q25" s="58"/>
      <c r="R25" s="62"/>
      <c r="S25" s="50"/>
    </row>
    <row r="26" spans="1:19" s="1" customFormat="1" ht="26.25">
      <c r="A26" s="58"/>
      <c r="B26" s="62"/>
      <c r="C26" s="50"/>
      <c r="D26" s="1069" t="s">
        <v>272</v>
      </c>
      <c r="E26" s="1070"/>
      <c r="F26" s="1070"/>
      <c r="G26" s="1070"/>
      <c r="H26" s="1070"/>
      <c r="I26" s="1070"/>
      <c r="J26" s="1070"/>
      <c r="K26" s="1070"/>
      <c r="L26" s="1070"/>
      <c r="M26" s="1070"/>
      <c r="N26" s="1070"/>
      <c r="O26" s="1070"/>
      <c r="P26" s="503"/>
      <c r="Q26" s="58"/>
      <c r="R26" s="62"/>
      <c r="S26" s="50"/>
    </row>
    <row r="27" spans="1:19" s="1" customFormat="1" ht="157.5">
      <c r="A27" s="48" t="s">
        <v>259</v>
      </c>
      <c r="B27" s="62" t="s">
        <v>273</v>
      </c>
      <c r="C27" s="233" t="s">
        <v>19</v>
      </c>
      <c r="D27" s="499" t="s">
        <v>274</v>
      </c>
      <c r="E27" s="500" t="s">
        <v>275</v>
      </c>
      <c r="F27" s="500" t="s">
        <v>263</v>
      </c>
      <c r="G27" s="500" t="s">
        <v>276</v>
      </c>
      <c r="H27" s="501" t="s">
        <v>615</v>
      </c>
      <c r="I27" s="534"/>
      <c r="J27" s="535" t="s">
        <v>136</v>
      </c>
      <c r="K27" s="535" t="s">
        <v>136</v>
      </c>
      <c r="L27" s="535" t="s">
        <v>136</v>
      </c>
      <c r="M27" s="535">
        <v>1</v>
      </c>
      <c r="N27" s="535">
        <v>2</v>
      </c>
      <c r="O27" s="535">
        <v>3</v>
      </c>
      <c r="P27" s="533" t="s">
        <v>263</v>
      </c>
      <c r="Q27" s="48" t="s">
        <v>259</v>
      </c>
      <c r="R27" s="62" t="s">
        <v>273</v>
      </c>
      <c r="S27" s="233" t="s">
        <v>19</v>
      </c>
    </row>
    <row r="28" spans="1:19" s="1" customFormat="1" ht="26.25">
      <c r="A28" s="58"/>
      <c r="B28" s="49"/>
      <c r="C28" s="50"/>
      <c r="D28" s="498" t="s">
        <v>3</v>
      </c>
      <c r="E28" s="913" t="s">
        <v>278</v>
      </c>
      <c r="F28" s="914"/>
      <c r="G28" s="914"/>
      <c r="H28" s="914"/>
      <c r="I28" s="914"/>
      <c r="J28" s="914"/>
      <c r="K28" s="914"/>
      <c r="L28" s="914"/>
      <c r="M28" s="914"/>
      <c r="N28" s="914"/>
      <c r="O28" s="914"/>
      <c r="P28" s="536"/>
      <c r="Q28" s="58"/>
      <c r="R28" s="49"/>
      <c r="S28" s="50"/>
    </row>
    <row r="29" spans="1:19" s="1" customFormat="1" ht="26.25">
      <c r="A29" s="58"/>
      <c r="B29" s="49"/>
      <c r="C29" s="50"/>
      <c r="D29" s="1073" t="s">
        <v>279</v>
      </c>
      <c r="E29" s="1074"/>
      <c r="F29" s="1074"/>
      <c r="G29" s="1074"/>
      <c r="H29" s="1074"/>
      <c r="I29" s="1074"/>
      <c r="J29" s="1074"/>
      <c r="K29" s="1074"/>
      <c r="L29" s="1074"/>
      <c r="M29" s="1074"/>
      <c r="N29" s="1074"/>
      <c r="O29" s="1074"/>
      <c r="P29" s="204"/>
      <c r="Q29" s="58"/>
      <c r="R29" s="49"/>
      <c r="S29" s="50"/>
    </row>
    <row r="30" spans="1:19" s="1" customFormat="1" ht="183.75">
      <c r="A30" s="504" t="s">
        <v>259</v>
      </c>
      <c r="B30" s="505" t="s">
        <v>280</v>
      </c>
      <c r="C30" s="506" t="s">
        <v>19</v>
      </c>
      <c r="D30" s="507" t="s">
        <v>281</v>
      </c>
      <c r="E30" s="427" t="s">
        <v>262</v>
      </c>
      <c r="F30" s="427" t="s">
        <v>263</v>
      </c>
      <c r="G30" s="508" t="s">
        <v>282</v>
      </c>
      <c r="H30" s="509" t="s">
        <v>616</v>
      </c>
      <c r="I30" s="537"/>
      <c r="J30" s="538" t="s">
        <v>34</v>
      </c>
      <c r="K30" s="538">
        <v>2</v>
      </c>
      <c r="L30" s="538">
        <v>4</v>
      </c>
      <c r="M30" s="538">
        <v>6</v>
      </c>
      <c r="N30" s="538">
        <v>8</v>
      </c>
      <c r="O30" s="539">
        <v>10</v>
      </c>
      <c r="P30" s="533" t="s">
        <v>263</v>
      </c>
      <c r="Q30" s="504" t="s">
        <v>259</v>
      </c>
      <c r="R30" s="505" t="s">
        <v>280</v>
      </c>
      <c r="S30" s="506" t="s">
        <v>19</v>
      </c>
    </row>
    <row r="31" spans="1:19" s="1" customFormat="1" ht="262.5">
      <c r="A31" s="510" t="s">
        <v>259</v>
      </c>
      <c r="B31" s="511" t="s">
        <v>284</v>
      </c>
      <c r="C31" s="512" t="s">
        <v>19</v>
      </c>
      <c r="D31" s="513"/>
      <c r="E31" s="514"/>
      <c r="F31" s="514"/>
      <c r="G31" s="515" t="s">
        <v>617</v>
      </c>
      <c r="H31" s="516" t="s">
        <v>618</v>
      </c>
      <c r="I31" s="537"/>
      <c r="J31" s="540" t="s">
        <v>34</v>
      </c>
      <c r="K31" s="540" t="s">
        <v>34</v>
      </c>
      <c r="L31" s="541">
        <v>1</v>
      </c>
      <c r="M31" s="541">
        <v>1</v>
      </c>
      <c r="N31" s="541">
        <v>1</v>
      </c>
      <c r="O31" s="541">
        <v>1</v>
      </c>
      <c r="P31" s="533" t="s">
        <v>263</v>
      </c>
      <c r="Q31" s="510" t="s">
        <v>259</v>
      </c>
      <c r="R31" s="511" t="s">
        <v>284</v>
      </c>
      <c r="S31" s="512" t="s">
        <v>19</v>
      </c>
    </row>
    <row r="32" spans="1:19" s="1" customFormat="1" ht="131.25">
      <c r="A32" s="517" t="s">
        <v>287</v>
      </c>
      <c r="B32" s="518" t="s">
        <v>284</v>
      </c>
      <c r="C32" s="512" t="s">
        <v>19</v>
      </c>
      <c r="D32" s="519"/>
      <c r="E32" s="520"/>
      <c r="F32" s="520"/>
      <c r="G32" s="521" t="s">
        <v>288</v>
      </c>
      <c r="H32" s="522"/>
      <c r="I32" s="537" t="s">
        <v>619</v>
      </c>
      <c r="J32" s="542">
        <v>1</v>
      </c>
      <c r="K32" s="542">
        <v>1</v>
      </c>
      <c r="L32" s="542">
        <v>1</v>
      </c>
      <c r="M32" s="542">
        <v>1</v>
      </c>
      <c r="N32" s="241">
        <v>1</v>
      </c>
      <c r="O32" s="241">
        <v>1</v>
      </c>
      <c r="P32" s="533" t="s">
        <v>263</v>
      </c>
      <c r="Q32" s="517" t="s">
        <v>287</v>
      </c>
      <c r="R32" s="518" t="s">
        <v>284</v>
      </c>
      <c r="S32" s="512" t="s">
        <v>19</v>
      </c>
    </row>
    <row r="33" spans="1:19" s="1" customFormat="1" ht="157.5">
      <c r="A33" s="523" t="s">
        <v>259</v>
      </c>
      <c r="B33" s="524" t="s">
        <v>290</v>
      </c>
      <c r="C33" s="525" t="s">
        <v>19</v>
      </c>
      <c r="D33" s="194"/>
      <c r="E33" s="526"/>
      <c r="F33" s="247"/>
      <c r="G33" s="526" t="s">
        <v>291</v>
      </c>
      <c r="H33" s="527"/>
      <c r="I33" s="543" t="s">
        <v>620</v>
      </c>
      <c r="J33" s="544" t="s">
        <v>136</v>
      </c>
      <c r="K33" s="544" t="s">
        <v>136</v>
      </c>
      <c r="L33" s="544" t="s">
        <v>136</v>
      </c>
      <c r="M33" s="544">
        <v>1</v>
      </c>
      <c r="N33" s="544">
        <v>1</v>
      </c>
      <c r="O33" s="545">
        <v>1</v>
      </c>
      <c r="P33" s="546" t="s">
        <v>263</v>
      </c>
      <c r="Q33" s="523" t="s">
        <v>259</v>
      </c>
      <c r="R33" s="524" t="s">
        <v>290</v>
      </c>
      <c r="S33" s="525" t="s">
        <v>19</v>
      </c>
    </row>
    <row r="34" spans="1:19" s="86" customFormat="1" ht="22.5" customHeight="1">
      <c r="A34" s="490"/>
      <c r="B34" s="490"/>
      <c r="C34" s="490"/>
      <c r="D34" s="72"/>
      <c r="E34" s="72"/>
      <c r="F34" s="72"/>
      <c r="G34" s="72"/>
      <c r="H34" s="72"/>
      <c r="I34" s="72"/>
      <c r="J34" s="530"/>
      <c r="K34" s="530"/>
      <c r="L34" s="531"/>
      <c r="M34" s="531"/>
      <c r="N34" s="72"/>
      <c r="O34" s="72"/>
      <c r="P34" s="72"/>
      <c r="Q34" s="490"/>
      <c r="R34" s="490"/>
      <c r="S34" s="490"/>
    </row>
    <row r="35" spans="1:19" s="86" customFormat="1" ht="22.5" customHeight="1">
      <c r="A35" s="490"/>
      <c r="B35" s="490"/>
      <c r="C35" s="490"/>
      <c r="D35" s="72">
        <f>2+1+1</f>
        <v>4</v>
      </c>
      <c r="E35" s="72" t="s">
        <v>600</v>
      </c>
      <c r="F35" s="72"/>
      <c r="G35" s="528" t="s">
        <v>564</v>
      </c>
      <c r="H35" s="529">
        <v>4</v>
      </c>
      <c r="I35" s="529"/>
      <c r="J35" s="530"/>
      <c r="K35" s="530"/>
      <c r="L35" s="531"/>
      <c r="M35" s="531"/>
      <c r="N35" s="72"/>
      <c r="O35" s="72"/>
      <c r="P35" s="72"/>
      <c r="Q35" s="490"/>
      <c r="R35" s="490"/>
      <c r="S35" s="490"/>
    </row>
    <row r="36" spans="1:19" s="86" customFormat="1" ht="22.5" customHeight="1">
      <c r="A36" s="490"/>
      <c r="B36" s="490"/>
      <c r="C36" s="490"/>
      <c r="D36" s="72"/>
      <c r="E36" s="72"/>
      <c r="F36" s="72"/>
      <c r="G36" s="145" t="s">
        <v>565</v>
      </c>
      <c r="H36" s="146">
        <v>3</v>
      </c>
      <c r="I36" s="146"/>
      <c r="J36" s="530"/>
      <c r="K36" s="530"/>
      <c r="L36" s="531"/>
      <c r="M36" s="531"/>
      <c r="N36" s="72"/>
      <c r="O36" s="72"/>
      <c r="P36" s="72"/>
      <c r="Q36" s="490"/>
      <c r="R36" s="490"/>
      <c r="S36" s="490"/>
    </row>
    <row r="37" spans="1:19" s="86" customFormat="1" ht="22.5" customHeight="1">
      <c r="A37" s="490"/>
      <c r="B37" s="490"/>
      <c r="C37" s="490"/>
      <c r="D37" s="72"/>
      <c r="E37" s="72"/>
      <c r="F37" s="72"/>
      <c r="G37" s="73" t="s">
        <v>566</v>
      </c>
      <c r="H37" s="147">
        <f>H35+H36</f>
        <v>7</v>
      </c>
      <c r="I37" s="147"/>
      <c r="J37" s="530"/>
      <c r="K37" s="530"/>
      <c r="L37" s="531"/>
      <c r="M37" s="531"/>
      <c r="N37" s="72"/>
      <c r="O37" s="72"/>
      <c r="P37" s="72"/>
      <c r="Q37" s="490"/>
      <c r="R37" s="490"/>
      <c r="S37" s="490"/>
    </row>
  </sheetData>
  <mergeCells count="36">
    <mergeCell ref="D1:S1"/>
    <mergeCell ref="E2:S2"/>
    <mergeCell ref="E4:S4"/>
    <mergeCell ref="E5:K5"/>
    <mergeCell ref="E6:K6"/>
    <mergeCell ref="E8:S8"/>
    <mergeCell ref="E9:K9"/>
    <mergeCell ref="E10:K10"/>
    <mergeCell ref="E11:K11"/>
    <mergeCell ref="E13:S13"/>
    <mergeCell ref="E14:S14"/>
    <mergeCell ref="E15:K15"/>
    <mergeCell ref="E19:P19"/>
    <mergeCell ref="J20:O20"/>
    <mergeCell ref="D22:O22"/>
    <mergeCell ref="D17:D18"/>
    <mergeCell ref="Q20:Q21"/>
    <mergeCell ref="R20:R21"/>
    <mergeCell ref="S20:S21"/>
    <mergeCell ref="E28:O28"/>
    <mergeCell ref="D29:O29"/>
    <mergeCell ref="A20:A21"/>
    <mergeCell ref="B20:B21"/>
    <mergeCell ref="C20:C21"/>
    <mergeCell ref="D20:D21"/>
    <mergeCell ref="E20:E21"/>
    <mergeCell ref="F20:F21"/>
    <mergeCell ref="G20:G21"/>
    <mergeCell ref="H20:H21"/>
    <mergeCell ref="I20:I21"/>
    <mergeCell ref="A17:C19"/>
    <mergeCell ref="Q17:S19"/>
    <mergeCell ref="E17:P18"/>
    <mergeCell ref="E25:P25"/>
    <mergeCell ref="D26:O26"/>
    <mergeCell ref="P20:P21"/>
  </mergeCells>
  <pageMargins left="0.7" right="0.7" top="0.75" bottom="0.75" header="0.3" footer="0.3"/>
  <pageSetup paperSize="9" scale="44" fitToHeight="0" orientation="landscape" r:id="rId1"/>
  <rowBreaks count="1" manualBreakCount="1">
    <brk id="24"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S73"/>
  <sheetViews>
    <sheetView view="pageBreakPreview" zoomScale="70" zoomScaleNormal="70" workbookViewId="0">
      <selection activeCell="E2" sqref="E2:S6"/>
    </sheetView>
  </sheetViews>
  <sheetFormatPr defaultColWidth="13.125" defaultRowHeight="18"/>
  <cols>
    <col min="1" max="1" width="10.875" style="4" customWidth="1"/>
    <col min="2" max="2" width="10.875" style="387" customWidth="1"/>
    <col min="3" max="3" width="10.875" style="4" customWidth="1"/>
    <col min="4" max="4" width="25" style="3" customWidth="1"/>
    <col min="5" max="5" width="20.75" style="3" customWidth="1"/>
    <col min="6" max="6" width="25.75" style="3" customWidth="1"/>
    <col min="7" max="7" width="26.5" style="3" customWidth="1"/>
    <col min="8" max="9" width="35.375" style="3" customWidth="1"/>
    <col min="10" max="12" width="8.75" style="3" customWidth="1"/>
    <col min="13" max="13" width="8.75" style="4" customWidth="1"/>
    <col min="14" max="15" width="8.75" style="3" customWidth="1"/>
    <col min="16" max="16" width="24.25" style="5" customWidth="1"/>
    <col min="17" max="17" width="10.875" style="4" hidden="1" customWidth="1"/>
    <col min="18" max="18" width="10.875" style="387" hidden="1" customWidth="1"/>
    <col min="19" max="19" width="10.875" style="4" hidden="1" customWidth="1"/>
    <col min="20" max="22" width="10.125" style="3" customWidth="1"/>
    <col min="23" max="16384" width="13.125" style="3"/>
  </cols>
  <sheetData>
    <row r="1" spans="4:19" s="1" customFormat="1" ht="59.25" customHeight="1">
      <c r="D1" s="1110" t="s">
        <v>621</v>
      </c>
      <c r="E1" s="1111"/>
      <c r="F1" s="1111"/>
      <c r="G1" s="1111"/>
      <c r="H1" s="1111"/>
      <c r="I1" s="1111"/>
      <c r="J1" s="1111"/>
      <c r="K1" s="1111"/>
      <c r="L1" s="1111"/>
      <c r="M1" s="1111"/>
      <c r="N1" s="1111"/>
      <c r="O1" s="1111"/>
      <c r="P1" s="1111"/>
      <c r="Q1" s="1111"/>
      <c r="R1" s="1111"/>
      <c r="S1" s="1112"/>
    </row>
    <row r="2" spans="4:19" s="2" customFormat="1" ht="26.25">
      <c r="D2" s="388" t="s">
        <v>519</v>
      </c>
      <c r="E2" s="1113" t="s">
        <v>622</v>
      </c>
      <c r="F2" s="1113"/>
      <c r="G2" s="1113"/>
      <c r="H2" s="1113"/>
      <c r="I2" s="1113"/>
      <c r="J2" s="1113"/>
      <c r="K2" s="1113"/>
      <c r="L2" s="1113"/>
      <c r="M2" s="1113"/>
      <c r="N2" s="1113"/>
      <c r="O2" s="1113"/>
      <c r="P2" s="1113"/>
      <c r="Q2" s="1113"/>
      <c r="R2" s="1113"/>
      <c r="S2" s="1114"/>
    </row>
    <row r="3" spans="4:19" s="2" customFormat="1" ht="26.25">
      <c r="D3" s="388"/>
      <c r="E3" s="1115"/>
      <c r="F3" s="1115"/>
      <c r="G3" s="1115"/>
      <c r="H3" s="1115"/>
      <c r="I3" s="1115"/>
      <c r="J3" s="1115"/>
      <c r="K3" s="1115"/>
      <c r="L3" s="1115"/>
      <c r="M3" s="1115"/>
      <c r="N3" s="1115"/>
      <c r="O3" s="1115"/>
      <c r="P3" s="1115"/>
      <c r="Q3" s="1115"/>
      <c r="R3" s="1115"/>
      <c r="S3" s="1116"/>
    </row>
    <row r="4" spans="4:19" s="1" customFormat="1" ht="26.25">
      <c r="D4" s="388" t="s">
        <v>521</v>
      </c>
      <c r="E4" s="1085" t="s">
        <v>623</v>
      </c>
      <c r="F4" s="1086"/>
      <c r="G4" s="1086"/>
      <c r="H4" s="1086"/>
      <c r="I4" s="1086"/>
      <c r="J4" s="1086"/>
      <c r="K4" s="1086"/>
      <c r="L4" s="1086"/>
      <c r="M4" s="1086"/>
      <c r="N4" s="1086"/>
      <c r="O4" s="1086"/>
      <c r="P4" s="1086"/>
      <c r="Q4" s="1086"/>
      <c r="R4" s="1086"/>
      <c r="S4" s="1103"/>
    </row>
    <row r="5" spans="4:19" s="1" customFormat="1" ht="26.25" customHeight="1">
      <c r="D5" s="388"/>
      <c r="E5" s="1085" t="s">
        <v>624</v>
      </c>
      <c r="F5" s="1086"/>
      <c r="G5" s="1086"/>
      <c r="H5" s="1086"/>
      <c r="I5" s="1086"/>
      <c r="J5" s="1086"/>
      <c r="K5" s="1086"/>
      <c r="L5" s="1086"/>
      <c r="M5" s="1086"/>
      <c r="N5" s="1086"/>
      <c r="O5" s="1086"/>
      <c r="P5" s="1086"/>
      <c r="Q5" s="1086"/>
      <c r="R5" s="1086"/>
      <c r="S5" s="1103"/>
    </row>
    <row r="6" spans="4:19" s="1" customFormat="1" ht="26.25" customHeight="1">
      <c r="D6" s="388"/>
      <c r="E6" s="1028" t="s">
        <v>625</v>
      </c>
      <c r="F6" s="1029"/>
      <c r="G6" s="1029"/>
      <c r="H6" s="1029"/>
      <c r="I6" s="1029"/>
      <c r="J6" s="1029"/>
      <c r="K6" s="1029"/>
      <c r="L6" s="1029"/>
      <c r="M6" s="1029"/>
      <c r="N6" s="1029"/>
      <c r="O6" s="1029"/>
      <c r="P6" s="1029"/>
      <c r="Q6" s="1029"/>
      <c r="R6" s="1029"/>
      <c r="S6" s="1030"/>
    </row>
    <row r="7" spans="4:19" s="1" customFormat="1" ht="26.25">
      <c r="D7" s="391"/>
      <c r="E7" s="1101"/>
      <c r="F7" s="1101"/>
      <c r="G7" s="1101"/>
      <c r="H7" s="1101"/>
      <c r="I7" s="1101"/>
      <c r="J7" s="1101"/>
      <c r="K7" s="1101"/>
      <c r="L7" s="1101"/>
      <c r="M7" s="1101"/>
      <c r="N7" s="1101"/>
      <c r="O7" s="1101"/>
      <c r="P7" s="1101"/>
      <c r="Q7" s="1101"/>
      <c r="R7" s="1101"/>
      <c r="S7" s="1102"/>
    </row>
    <row r="8" spans="4:19" s="1" customFormat="1" ht="26.25" customHeight="1">
      <c r="D8" s="393" t="s">
        <v>526</v>
      </c>
      <c r="E8" s="1085" t="s">
        <v>626</v>
      </c>
      <c r="F8" s="1086"/>
      <c r="G8" s="1086"/>
      <c r="H8" s="1086"/>
      <c r="I8" s="1086"/>
      <c r="J8" s="1086"/>
      <c r="K8" s="1086"/>
      <c r="L8" s="1086"/>
      <c r="M8" s="1086"/>
      <c r="N8" s="1086"/>
      <c r="O8" s="1086"/>
      <c r="P8" s="1086"/>
      <c r="Q8" s="1086"/>
      <c r="R8" s="1086"/>
      <c r="S8" s="1103"/>
    </row>
    <row r="9" spans="4:19" s="1" customFormat="1" ht="26.25" customHeight="1">
      <c r="D9" s="393"/>
      <c r="E9" s="1085" t="s">
        <v>627</v>
      </c>
      <c r="F9" s="1086"/>
      <c r="G9" s="1086"/>
      <c r="H9" s="1086"/>
      <c r="I9" s="1086"/>
      <c r="J9" s="1086"/>
      <c r="K9" s="1086"/>
      <c r="L9" s="1086"/>
      <c r="M9" s="1086"/>
      <c r="N9" s="1086"/>
      <c r="O9" s="1086"/>
      <c r="P9" s="1086"/>
      <c r="Q9" s="1086"/>
      <c r="R9" s="1086"/>
      <c r="S9" s="1103"/>
    </row>
    <row r="10" spans="4:19" s="1" customFormat="1" ht="26.25" customHeight="1">
      <c r="D10" s="393"/>
      <c r="E10" s="1085" t="s">
        <v>628</v>
      </c>
      <c r="F10" s="1086"/>
      <c r="G10" s="1086"/>
      <c r="H10" s="1086"/>
      <c r="I10" s="1086"/>
      <c r="J10" s="1086"/>
      <c r="K10" s="1086"/>
      <c r="L10" s="1086"/>
      <c r="M10" s="1086"/>
      <c r="N10" s="1086"/>
      <c r="O10" s="1086"/>
      <c r="P10" s="1086"/>
      <c r="Q10" s="1086"/>
      <c r="R10" s="1086"/>
      <c r="S10" s="1103"/>
    </row>
    <row r="11" spans="4:19" s="1" customFormat="1" ht="26.25">
      <c r="D11" s="393"/>
      <c r="E11" s="1085" t="s">
        <v>629</v>
      </c>
      <c r="F11" s="1086"/>
      <c r="G11" s="1086"/>
      <c r="H11" s="1086"/>
      <c r="I11" s="1086"/>
      <c r="J11" s="1086"/>
      <c r="K11" s="1086"/>
      <c r="L11" s="1086"/>
      <c r="M11" s="1086"/>
      <c r="N11" s="1086"/>
      <c r="O11" s="1086"/>
      <c r="P11" s="1086"/>
      <c r="Q11" s="1086"/>
      <c r="R11" s="1086"/>
      <c r="S11" s="1103"/>
    </row>
    <row r="12" spans="4:19" s="1" customFormat="1" ht="26.25" customHeight="1">
      <c r="D12" s="393"/>
      <c r="E12" s="1085" t="s">
        <v>630</v>
      </c>
      <c r="F12" s="1086"/>
      <c r="G12" s="1086"/>
      <c r="H12" s="1086"/>
      <c r="I12" s="1086"/>
      <c r="J12" s="1086"/>
      <c r="K12" s="1086"/>
      <c r="L12" s="1086"/>
      <c r="M12" s="1086"/>
      <c r="N12" s="1086"/>
      <c r="O12" s="1086"/>
      <c r="P12" s="1086"/>
      <c r="Q12" s="1086"/>
      <c r="R12" s="1086"/>
      <c r="S12" s="1103"/>
    </row>
    <row r="13" spans="4:19" s="1" customFormat="1" ht="26.25" customHeight="1">
      <c r="D13" s="391"/>
      <c r="E13" s="1085" t="s">
        <v>631</v>
      </c>
      <c r="F13" s="1086"/>
      <c r="G13" s="1086"/>
      <c r="H13" s="1086"/>
      <c r="I13" s="1086"/>
      <c r="J13" s="1086"/>
      <c r="K13" s="1086"/>
      <c r="L13" s="1086"/>
      <c r="M13" s="1086"/>
      <c r="N13" s="1086"/>
      <c r="O13" s="1086"/>
      <c r="P13" s="1086"/>
      <c r="Q13" s="1086"/>
      <c r="R13" s="1086"/>
      <c r="S13" s="1103"/>
    </row>
    <row r="14" spans="4:19" s="1" customFormat="1" ht="26.25">
      <c r="D14" s="391"/>
      <c r="E14" s="1028" t="s">
        <v>632</v>
      </c>
      <c r="F14" s="1029"/>
      <c r="G14" s="1029"/>
      <c r="H14" s="1029"/>
      <c r="I14" s="1029"/>
      <c r="J14" s="1029"/>
      <c r="K14" s="1029"/>
      <c r="L14" s="1029"/>
      <c r="M14" s="1029"/>
      <c r="N14" s="1029"/>
      <c r="O14" s="1029"/>
      <c r="P14" s="1029"/>
      <c r="Q14" s="1029"/>
      <c r="R14" s="1029"/>
      <c r="S14" s="1030"/>
    </row>
    <row r="15" spans="4:19" s="1" customFormat="1" ht="26.25" customHeight="1">
      <c r="D15" s="391"/>
      <c r="E15" s="1085" t="s">
        <v>633</v>
      </c>
      <c r="F15" s="1086"/>
      <c r="G15" s="1086"/>
      <c r="H15" s="1086"/>
      <c r="I15" s="1086"/>
      <c r="J15" s="1086"/>
      <c r="K15" s="1086"/>
      <c r="L15" s="1086"/>
      <c r="M15" s="1086"/>
      <c r="N15" s="1086"/>
      <c r="O15" s="1086"/>
      <c r="P15" s="1086"/>
      <c r="Q15" s="1086"/>
      <c r="R15" s="1086"/>
      <c r="S15" s="1103"/>
    </row>
    <row r="16" spans="4:19" s="1" customFormat="1" ht="26.25">
      <c r="D16" s="391"/>
      <c r="E16" s="1101"/>
      <c r="F16" s="1101"/>
      <c r="G16" s="1101"/>
      <c r="H16" s="1101"/>
      <c r="I16" s="1101"/>
      <c r="J16" s="1101"/>
      <c r="K16" s="1101"/>
      <c r="L16" s="1101"/>
      <c r="M16" s="1101"/>
      <c r="N16" s="1101"/>
      <c r="O16" s="1101"/>
      <c r="P16" s="1101"/>
      <c r="Q16" s="1101"/>
      <c r="R16" s="1101"/>
      <c r="S16" s="1102"/>
    </row>
    <row r="17" spans="1:19" s="1" customFormat="1" ht="26.25" customHeight="1">
      <c r="D17" s="391" t="s">
        <v>531</v>
      </c>
      <c r="E17" s="1085" t="s">
        <v>634</v>
      </c>
      <c r="F17" s="1086"/>
      <c r="G17" s="1086"/>
      <c r="H17" s="1086"/>
      <c r="I17" s="1086"/>
      <c r="J17" s="1086"/>
      <c r="K17" s="1086"/>
      <c r="L17" s="1086"/>
      <c r="M17" s="1086"/>
      <c r="N17" s="1086"/>
      <c r="O17" s="1086"/>
      <c r="P17" s="1086"/>
      <c r="Q17" s="1086"/>
      <c r="R17" s="1086"/>
      <c r="S17" s="1103"/>
    </row>
    <row r="18" spans="1:19" s="1" customFormat="1" ht="26.25" customHeight="1">
      <c r="D18" s="391"/>
      <c r="E18" s="1085" t="s">
        <v>635</v>
      </c>
      <c r="F18" s="1086"/>
      <c r="G18" s="1086"/>
      <c r="H18" s="1086"/>
      <c r="I18" s="1086"/>
      <c r="J18" s="1086"/>
      <c r="K18" s="1086"/>
      <c r="L18" s="1086"/>
      <c r="M18" s="1086"/>
      <c r="N18" s="1086"/>
      <c r="O18" s="1086"/>
      <c r="P18" s="1086"/>
      <c r="Q18" s="1086"/>
      <c r="R18" s="1086"/>
      <c r="S18" s="1103"/>
    </row>
    <row r="19" spans="1:19" s="1" customFormat="1" ht="26.25">
      <c r="D19" s="1104"/>
      <c r="E19" s="1105"/>
      <c r="F19" s="1105"/>
      <c r="G19" s="1106"/>
      <c r="H19" s="1106"/>
      <c r="I19" s="1106"/>
      <c r="J19" s="1106"/>
      <c r="K19" s="1106"/>
      <c r="L19" s="1106"/>
      <c r="M19" s="1106"/>
      <c r="N19" s="1106"/>
      <c r="O19" s="1106"/>
      <c r="P19" s="1106"/>
      <c r="Q19" s="1106"/>
      <c r="R19" s="1106"/>
      <c r="S19" s="1107"/>
    </row>
    <row r="20" spans="1:19" s="1" customFormat="1" ht="26.25">
      <c r="A20" s="830" t="s">
        <v>0</v>
      </c>
      <c r="B20" s="806"/>
      <c r="C20" s="807"/>
      <c r="D20" s="1087" t="s">
        <v>293</v>
      </c>
      <c r="E20" s="831" t="s">
        <v>294</v>
      </c>
      <c r="F20" s="832"/>
      <c r="G20" s="832"/>
      <c r="H20" s="832"/>
      <c r="I20" s="832"/>
      <c r="J20" s="832"/>
      <c r="K20" s="832"/>
      <c r="L20" s="832"/>
      <c r="M20" s="832"/>
      <c r="N20" s="832"/>
      <c r="O20" s="832"/>
      <c r="P20" s="833"/>
      <c r="Q20" s="830" t="s">
        <v>0</v>
      </c>
      <c r="R20" s="806"/>
      <c r="S20" s="807"/>
    </row>
    <row r="21" spans="1:19" s="1" customFormat="1" ht="26.25">
      <c r="A21" s="820"/>
      <c r="B21" s="809"/>
      <c r="C21" s="810"/>
      <c r="D21" s="1088"/>
      <c r="E21" s="834"/>
      <c r="F21" s="835"/>
      <c r="G21" s="835"/>
      <c r="H21" s="835"/>
      <c r="I21" s="835"/>
      <c r="J21" s="835"/>
      <c r="K21" s="835"/>
      <c r="L21" s="835"/>
      <c r="M21" s="835"/>
      <c r="N21" s="835"/>
      <c r="O21" s="835"/>
      <c r="P21" s="836"/>
      <c r="Q21" s="820"/>
      <c r="R21" s="809"/>
      <c r="S21" s="810"/>
    </row>
    <row r="22" spans="1:19" s="1" customFormat="1" ht="26.25">
      <c r="A22" s="820"/>
      <c r="B22" s="809"/>
      <c r="C22" s="810"/>
      <c r="D22" s="13" t="s">
        <v>3</v>
      </c>
      <c r="E22" s="1096" t="s">
        <v>295</v>
      </c>
      <c r="F22" s="1108"/>
      <c r="G22" s="1108"/>
      <c r="H22" s="1108"/>
      <c r="I22" s="1108"/>
      <c r="J22" s="1108"/>
      <c r="K22" s="1108"/>
      <c r="L22" s="1108"/>
      <c r="M22" s="1108"/>
      <c r="N22" s="1108"/>
      <c r="O22" s="1108"/>
      <c r="P22" s="1109"/>
      <c r="Q22" s="820"/>
      <c r="R22" s="809"/>
      <c r="S22" s="810"/>
    </row>
    <row r="23" spans="1:19" s="1" customFormat="1" ht="26.25">
      <c r="A23" s="851" t="s">
        <v>5</v>
      </c>
      <c r="B23" s="809" t="s">
        <v>6</v>
      </c>
      <c r="C23" s="845" t="s">
        <v>7</v>
      </c>
      <c r="D23" s="1088" t="s">
        <v>8</v>
      </c>
      <c r="E23" s="1089" t="s">
        <v>9</v>
      </c>
      <c r="F23" s="1089" t="s">
        <v>166</v>
      </c>
      <c r="G23" s="1089" t="s">
        <v>11</v>
      </c>
      <c r="H23" s="1089" t="s">
        <v>12</v>
      </c>
      <c r="I23" s="997" t="s">
        <v>13</v>
      </c>
      <c r="J23" s="1089" t="s">
        <v>296</v>
      </c>
      <c r="K23" s="1089"/>
      <c r="L23" s="1089"/>
      <c r="M23" s="1089"/>
      <c r="N23" s="1089"/>
      <c r="O23" s="1096"/>
      <c r="P23" s="1099" t="s">
        <v>15</v>
      </c>
      <c r="Q23" s="851" t="s">
        <v>5</v>
      </c>
      <c r="R23" s="809" t="s">
        <v>6</v>
      </c>
      <c r="S23" s="845" t="s">
        <v>7</v>
      </c>
    </row>
    <row r="24" spans="1:19" s="1" customFormat="1" ht="26.25">
      <c r="A24" s="852"/>
      <c r="B24" s="919"/>
      <c r="C24" s="846"/>
      <c r="D24" s="1093"/>
      <c r="E24" s="1090"/>
      <c r="F24" s="1090"/>
      <c r="G24" s="1090"/>
      <c r="H24" s="1090"/>
      <c r="I24" s="998"/>
      <c r="J24" s="14">
        <v>65</v>
      </c>
      <c r="K24" s="14">
        <v>66</v>
      </c>
      <c r="L24" s="14">
        <v>67</v>
      </c>
      <c r="M24" s="14">
        <v>68</v>
      </c>
      <c r="N24" s="14">
        <v>69</v>
      </c>
      <c r="O24" s="40">
        <v>70</v>
      </c>
      <c r="P24" s="1100"/>
      <c r="Q24" s="852"/>
      <c r="R24" s="919"/>
      <c r="S24" s="846"/>
    </row>
    <row r="25" spans="1:19" s="1" customFormat="1" ht="26.25">
      <c r="A25" s="42"/>
      <c r="B25" s="259"/>
      <c r="C25" s="44"/>
      <c r="D25" s="857" t="s">
        <v>297</v>
      </c>
      <c r="E25" s="858"/>
      <c r="F25" s="858"/>
      <c r="G25" s="858"/>
      <c r="H25" s="858"/>
      <c r="I25" s="858"/>
      <c r="J25" s="858"/>
      <c r="K25" s="858"/>
      <c r="L25" s="858"/>
      <c r="M25" s="858"/>
      <c r="N25" s="858"/>
      <c r="O25" s="859"/>
      <c r="P25" s="41"/>
      <c r="Q25" s="42"/>
      <c r="R25" s="259"/>
      <c r="S25" s="44"/>
    </row>
    <row r="26" spans="1:19" s="1" customFormat="1" ht="183.75" customHeight="1">
      <c r="A26" s="394" t="s">
        <v>298</v>
      </c>
      <c r="B26" s="173" t="s">
        <v>299</v>
      </c>
      <c r="C26" s="395" t="s">
        <v>19</v>
      </c>
      <c r="D26" s="891" t="s">
        <v>300</v>
      </c>
      <c r="E26" s="396" t="s">
        <v>301</v>
      </c>
      <c r="F26" s="187" t="s">
        <v>143</v>
      </c>
      <c r="G26" s="396" t="s">
        <v>302</v>
      </c>
      <c r="H26" s="397" t="s">
        <v>636</v>
      </c>
      <c r="I26" s="377"/>
      <c r="J26" s="18" t="s">
        <v>34</v>
      </c>
      <c r="K26" s="18" t="s">
        <v>34</v>
      </c>
      <c r="L26" s="18" t="s">
        <v>34</v>
      </c>
      <c r="M26" s="18">
        <v>50</v>
      </c>
      <c r="N26" s="18">
        <v>75</v>
      </c>
      <c r="O26" s="51">
        <v>100</v>
      </c>
      <c r="P26" s="52" t="s">
        <v>143</v>
      </c>
      <c r="Q26" s="394" t="s">
        <v>298</v>
      </c>
      <c r="R26" s="173" t="s">
        <v>299</v>
      </c>
      <c r="S26" s="395" t="s">
        <v>19</v>
      </c>
    </row>
    <row r="27" spans="1:19" s="1" customFormat="1" ht="273.75" customHeight="1">
      <c r="A27" s="394" t="s">
        <v>304</v>
      </c>
      <c r="B27" s="173" t="s">
        <v>299</v>
      </c>
      <c r="C27" s="395" t="s">
        <v>19</v>
      </c>
      <c r="D27" s="892"/>
      <c r="E27" s="396" t="s">
        <v>305</v>
      </c>
      <c r="F27" s="187" t="s">
        <v>306</v>
      </c>
      <c r="G27" s="398" t="s">
        <v>637</v>
      </c>
      <c r="H27" s="397" t="s">
        <v>638</v>
      </c>
      <c r="I27" s="377"/>
      <c r="J27" s="18" t="s">
        <v>34</v>
      </c>
      <c r="K27" s="18" t="s">
        <v>34</v>
      </c>
      <c r="L27" s="18" t="s">
        <v>34</v>
      </c>
      <c r="M27" s="18">
        <v>50</v>
      </c>
      <c r="N27" s="18">
        <v>75</v>
      </c>
      <c r="O27" s="51">
        <v>100</v>
      </c>
      <c r="P27" s="52" t="s">
        <v>309</v>
      </c>
      <c r="Q27" s="394" t="s">
        <v>304</v>
      </c>
      <c r="R27" s="173" t="s">
        <v>299</v>
      </c>
      <c r="S27" s="395" t="s">
        <v>19</v>
      </c>
    </row>
    <row r="28" spans="1:19" s="1" customFormat="1" ht="409.5">
      <c r="A28" s="394" t="s">
        <v>298</v>
      </c>
      <c r="B28" s="173" t="s">
        <v>310</v>
      </c>
      <c r="C28" s="395" t="s">
        <v>19</v>
      </c>
      <c r="D28" s="892"/>
      <c r="E28" s="396" t="s">
        <v>301</v>
      </c>
      <c r="F28" s="187" t="s">
        <v>143</v>
      </c>
      <c r="G28" s="399" t="s">
        <v>311</v>
      </c>
      <c r="H28" s="397"/>
      <c r="I28" s="377" t="s">
        <v>639</v>
      </c>
      <c r="J28" s="18" t="s">
        <v>34</v>
      </c>
      <c r="K28" s="18" t="s">
        <v>34</v>
      </c>
      <c r="L28" s="18" t="s">
        <v>34</v>
      </c>
      <c r="M28" s="18">
        <v>2</v>
      </c>
      <c r="N28" s="18">
        <v>3</v>
      </c>
      <c r="O28" s="51">
        <v>5</v>
      </c>
      <c r="P28" s="52" t="s">
        <v>143</v>
      </c>
      <c r="Q28" s="394" t="s">
        <v>298</v>
      </c>
      <c r="R28" s="173" t="s">
        <v>310</v>
      </c>
      <c r="S28" s="395" t="s">
        <v>19</v>
      </c>
    </row>
    <row r="29" spans="1:19" s="1" customFormat="1" ht="409.5">
      <c r="A29" s="394" t="s">
        <v>298</v>
      </c>
      <c r="B29" s="173" t="s">
        <v>310</v>
      </c>
      <c r="C29" s="395" t="s">
        <v>19</v>
      </c>
      <c r="D29" s="892"/>
      <c r="E29" s="398" t="s">
        <v>235</v>
      </c>
      <c r="F29" s="21" t="s">
        <v>236</v>
      </c>
      <c r="G29" s="399" t="s">
        <v>313</v>
      </c>
      <c r="H29" s="397"/>
      <c r="I29" s="377" t="s">
        <v>640</v>
      </c>
      <c r="J29" s="18" t="s">
        <v>34</v>
      </c>
      <c r="K29" s="18" t="s">
        <v>34</v>
      </c>
      <c r="L29" s="18" t="s">
        <v>34</v>
      </c>
      <c r="M29" s="18">
        <v>2</v>
      </c>
      <c r="N29" s="18">
        <v>3</v>
      </c>
      <c r="O29" s="51">
        <v>5</v>
      </c>
      <c r="P29" s="52" t="s">
        <v>315</v>
      </c>
      <c r="Q29" s="394" t="s">
        <v>298</v>
      </c>
      <c r="R29" s="173" t="s">
        <v>310</v>
      </c>
      <c r="S29" s="395" t="s">
        <v>19</v>
      </c>
    </row>
    <row r="30" spans="1:19" s="1" customFormat="1" ht="183.75">
      <c r="A30" s="394" t="s">
        <v>316</v>
      </c>
      <c r="B30" s="173" t="s">
        <v>310</v>
      </c>
      <c r="C30" s="395" t="s">
        <v>19</v>
      </c>
      <c r="D30" s="892"/>
      <c r="E30" s="396" t="s">
        <v>301</v>
      </c>
      <c r="F30" s="187" t="s">
        <v>143</v>
      </c>
      <c r="G30" s="243"/>
      <c r="H30" s="397"/>
      <c r="I30" s="377" t="s">
        <v>641</v>
      </c>
      <c r="J30" s="18" t="s">
        <v>34</v>
      </c>
      <c r="K30" s="18" t="s">
        <v>34</v>
      </c>
      <c r="L30" s="18" t="s">
        <v>34</v>
      </c>
      <c r="M30" s="18">
        <v>10</v>
      </c>
      <c r="N30" s="18">
        <v>20</v>
      </c>
      <c r="O30" s="51">
        <v>30</v>
      </c>
      <c r="P30" s="52" t="s">
        <v>143</v>
      </c>
      <c r="Q30" s="394" t="s">
        <v>316</v>
      </c>
      <c r="R30" s="173" t="s">
        <v>310</v>
      </c>
      <c r="S30" s="395" t="s">
        <v>19</v>
      </c>
    </row>
    <row r="31" spans="1:19" s="1" customFormat="1" ht="183.75">
      <c r="A31" s="394" t="s">
        <v>316</v>
      </c>
      <c r="B31" s="173" t="s">
        <v>310</v>
      </c>
      <c r="C31" s="395" t="s">
        <v>19</v>
      </c>
      <c r="D31" s="893"/>
      <c r="E31" s="398" t="s">
        <v>235</v>
      </c>
      <c r="F31" s="21" t="s">
        <v>236</v>
      </c>
      <c r="G31" s="19"/>
      <c r="H31" s="397"/>
      <c r="I31" s="377" t="s">
        <v>642</v>
      </c>
      <c r="J31" s="18" t="s">
        <v>34</v>
      </c>
      <c r="K31" s="18" t="s">
        <v>34</v>
      </c>
      <c r="L31" s="18" t="s">
        <v>34</v>
      </c>
      <c r="M31" s="18">
        <v>10</v>
      </c>
      <c r="N31" s="18">
        <v>20</v>
      </c>
      <c r="O31" s="51">
        <v>30</v>
      </c>
      <c r="P31" s="52" t="s">
        <v>315</v>
      </c>
      <c r="Q31" s="394" t="s">
        <v>316</v>
      </c>
      <c r="R31" s="173" t="s">
        <v>310</v>
      </c>
      <c r="S31" s="395" t="s">
        <v>19</v>
      </c>
    </row>
    <row r="32" spans="1:19" s="1" customFormat="1" ht="26.25">
      <c r="A32" s="400"/>
      <c r="B32" s="401"/>
      <c r="C32" s="402"/>
      <c r="D32" s="927" t="s">
        <v>319</v>
      </c>
      <c r="E32" s="928"/>
      <c r="F32" s="928"/>
      <c r="G32" s="928"/>
      <c r="H32" s="928"/>
      <c r="I32" s="928"/>
      <c r="J32" s="928"/>
      <c r="K32" s="928"/>
      <c r="L32" s="928"/>
      <c r="M32" s="928"/>
      <c r="N32" s="928"/>
      <c r="O32" s="929"/>
      <c r="P32" s="440"/>
      <c r="Q32" s="400"/>
      <c r="R32" s="401"/>
      <c r="S32" s="402"/>
    </row>
    <row r="33" spans="1:19" s="1" customFormat="1" ht="238.5" customHeight="1">
      <c r="A33" s="403" t="s">
        <v>320</v>
      </c>
      <c r="B33" s="404"/>
      <c r="C33" s="405" t="s">
        <v>19</v>
      </c>
      <c r="D33" s="936" t="s">
        <v>321</v>
      </c>
      <c r="E33" s="406" t="s">
        <v>322</v>
      </c>
      <c r="F33" s="406" t="s">
        <v>143</v>
      </c>
      <c r="G33" s="407" t="s">
        <v>323</v>
      </c>
      <c r="H33" s="408" t="s">
        <v>643</v>
      </c>
      <c r="I33" s="441"/>
      <c r="J33" s="442" t="s">
        <v>136</v>
      </c>
      <c r="K33" s="442" t="s">
        <v>136</v>
      </c>
      <c r="L33" s="442" t="s">
        <v>34</v>
      </c>
      <c r="M33" s="442">
        <v>80</v>
      </c>
      <c r="N33" s="442">
        <v>90</v>
      </c>
      <c r="O33" s="443">
        <v>100</v>
      </c>
      <c r="P33" s="444" t="s">
        <v>143</v>
      </c>
      <c r="Q33" s="403" t="s">
        <v>320</v>
      </c>
      <c r="R33" s="404"/>
      <c r="S33" s="405" t="s">
        <v>19</v>
      </c>
    </row>
    <row r="34" spans="1:19" s="1" customFormat="1" ht="157.5">
      <c r="A34" s="403" t="s">
        <v>320</v>
      </c>
      <c r="B34" s="404"/>
      <c r="C34" s="405" t="s">
        <v>19</v>
      </c>
      <c r="D34" s="937"/>
      <c r="E34" s="406"/>
      <c r="F34" s="406"/>
      <c r="G34" s="407"/>
      <c r="H34" s="408"/>
      <c r="I34" s="441" t="s">
        <v>644</v>
      </c>
      <c r="J34" s="442" t="s">
        <v>136</v>
      </c>
      <c r="K34" s="442" t="s">
        <v>136</v>
      </c>
      <c r="L34" s="442" t="s">
        <v>34</v>
      </c>
      <c r="M34" s="442">
        <v>3.5</v>
      </c>
      <c r="N34" s="442">
        <v>3.8</v>
      </c>
      <c r="O34" s="445">
        <v>4</v>
      </c>
      <c r="P34" s="444" t="s">
        <v>143</v>
      </c>
      <c r="Q34" s="403" t="s">
        <v>320</v>
      </c>
      <c r="R34" s="404"/>
      <c r="S34" s="405" t="s">
        <v>19</v>
      </c>
    </row>
    <row r="35" spans="1:19" s="1" customFormat="1" ht="157.5">
      <c r="A35" s="403" t="s">
        <v>320</v>
      </c>
      <c r="B35" s="404"/>
      <c r="C35" s="405" t="s">
        <v>19</v>
      </c>
      <c r="D35" s="937"/>
      <c r="E35" s="406"/>
      <c r="F35" s="406"/>
      <c r="G35" s="407"/>
      <c r="H35" s="408"/>
      <c r="I35" s="441" t="s">
        <v>645</v>
      </c>
      <c r="J35" s="442" t="s">
        <v>136</v>
      </c>
      <c r="K35" s="442" t="s">
        <v>136</v>
      </c>
      <c r="L35" s="442" t="s">
        <v>34</v>
      </c>
      <c r="M35" s="442">
        <v>3.5</v>
      </c>
      <c r="N35" s="442">
        <v>3.8</v>
      </c>
      <c r="O35" s="445">
        <v>4</v>
      </c>
      <c r="P35" s="444" t="s">
        <v>143</v>
      </c>
      <c r="Q35" s="403" t="s">
        <v>320</v>
      </c>
      <c r="R35" s="404"/>
      <c r="S35" s="405" t="s">
        <v>19</v>
      </c>
    </row>
    <row r="36" spans="1:19" s="1" customFormat="1" ht="131.25">
      <c r="A36" s="403" t="s">
        <v>320</v>
      </c>
      <c r="B36" s="404"/>
      <c r="C36" s="405" t="s">
        <v>19</v>
      </c>
      <c r="D36" s="938"/>
      <c r="E36" s="406"/>
      <c r="F36" s="406"/>
      <c r="G36" s="407"/>
      <c r="H36" s="408"/>
      <c r="I36" s="441" t="s">
        <v>646</v>
      </c>
      <c r="J36" s="442" t="s">
        <v>136</v>
      </c>
      <c r="K36" s="442" t="s">
        <v>136</v>
      </c>
      <c r="L36" s="442" t="s">
        <v>34</v>
      </c>
      <c r="M36" s="442">
        <v>3.5</v>
      </c>
      <c r="N36" s="442">
        <v>3.8</v>
      </c>
      <c r="O36" s="445">
        <v>4</v>
      </c>
      <c r="P36" s="444" t="s">
        <v>143</v>
      </c>
      <c r="Q36" s="403" t="s">
        <v>320</v>
      </c>
      <c r="R36" s="404"/>
      <c r="S36" s="405" t="s">
        <v>19</v>
      </c>
    </row>
    <row r="37" spans="1:19" s="1" customFormat="1" ht="263.10000000000002" customHeight="1">
      <c r="A37" s="403" t="s">
        <v>328</v>
      </c>
      <c r="B37" s="404" t="s">
        <v>329</v>
      </c>
      <c r="C37" s="405" t="s">
        <v>19</v>
      </c>
      <c r="D37" s="936" t="s">
        <v>330</v>
      </c>
      <c r="E37" s="406" t="s">
        <v>322</v>
      </c>
      <c r="F37" s="406" t="s">
        <v>143</v>
      </c>
      <c r="G37" s="407" t="s">
        <v>647</v>
      </c>
      <c r="H37" s="410" t="s">
        <v>648</v>
      </c>
      <c r="I37" s="441"/>
      <c r="J37" s="442" t="s">
        <v>136</v>
      </c>
      <c r="K37" s="442" t="s">
        <v>136</v>
      </c>
      <c r="L37" s="442" t="s">
        <v>34</v>
      </c>
      <c r="M37" s="442">
        <v>10</v>
      </c>
      <c r="N37" s="442">
        <v>20</v>
      </c>
      <c r="O37" s="443">
        <v>30</v>
      </c>
      <c r="P37" s="444" t="s">
        <v>143</v>
      </c>
      <c r="Q37" s="403" t="s">
        <v>328</v>
      </c>
      <c r="R37" s="404" t="s">
        <v>329</v>
      </c>
      <c r="S37" s="405" t="s">
        <v>19</v>
      </c>
    </row>
    <row r="38" spans="1:19" s="1" customFormat="1" ht="132" customHeight="1">
      <c r="A38" s="403" t="s">
        <v>328</v>
      </c>
      <c r="B38" s="404" t="s">
        <v>329</v>
      </c>
      <c r="C38" s="405" t="s">
        <v>19</v>
      </c>
      <c r="D38" s="937"/>
      <c r="E38" s="406"/>
      <c r="F38" s="406"/>
      <c r="G38" s="407"/>
      <c r="H38" s="408"/>
      <c r="I38" s="441" t="s">
        <v>649</v>
      </c>
      <c r="J38" s="442" t="s">
        <v>136</v>
      </c>
      <c r="K38" s="442" t="s">
        <v>136</v>
      </c>
      <c r="L38" s="442" t="s">
        <v>34</v>
      </c>
      <c r="M38" s="442">
        <v>10</v>
      </c>
      <c r="N38" s="442">
        <v>20</v>
      </c>
      <c r="O38" s="443">
        <v>30</v>
      </c>
      <c r="P38" s="444" t="s">
        <v>143</v>
      </c>
      <c r="Q38" s="403" t="s">
        <v>328</v>
      </c>
      <c r="R38" s="404" t="s">
        <v>329</v>
      </c>
      <c r="S38" s="405" t="s">
        <v>19</v>
      </c>
    </row>
    <row r="39" spans="1:19" s="1" customFormat="1" ht="131.25">
      <c r="A39" s="403" t="s">
        <v>320</v>
      </c>
      <c r="B39" s="404" t="s">
        <v>329</v>
      </c>
      <c r="C39" s="405" t="s">
        <v>19</v>
      </c>
      <c r="D39" s="938"/>
      <c r="E39" s="406"/>
      <c r="F39" s="406"/>
      <c r="G39" s="407"/>
      <c r="H39" s="408"/>
      <c r="I39" s="446" t="s">
        <v>650</v>
      </c>
      <c r="J39" s="442" t="s">
        <v>136</v>
      </c>
      <c r="K39" s="442" t="s">
        <v>335</v>
      </c>
      <c r="L39" s="442" t="s">
        <v>34</v>
      </c>
      <c r="M39" s="442">
        <v>3.5</v>
      </c>
      <c r="N39" s="442">
        <v>3.8</v>
      </c>
      <c r="O39" s="445">
        <v>4</v>
      </c>
      <c r="P39" s="444" t="s">
        <v>143</v>
      </c>
      <c r="Q39" s="403" t="s">
        <v>320</v>
      </c>
      <c r="R39" s="404" t="s">
        <v>329</v>
      </c>
      <c r="S39" s="405" t="s">
        <v>19</v>
      </c>
    </row>
    <row r="40" spans="1:19" s="1" customFormat="1" ht="26.25">
      <c r="A40" s="403"/>
      <c r="B40" s="404"/>
      <c r="C40" s="405"/>
      <c r="D40" s="930" t="s">
        <v>336</v>
      </c>
      <c r="E40" s="930"/>
      <c r="F40" s="930"/>
      <c r="G40" s="930"/>
      <c r="H40" s="930"/>
      <c r="I40" s="930"/>
      <c r="J40" s="930"/>
      <c r="K40" s="930"/>
      <c r="L40" s="930"/>
      <c r="M40" s="930"/>
      <c r="N40" s="930"/>
      <c r="O40" s="930"/>
      <c r="P40" s="931"/>
      <c r="Q40" s="403"/>
      <c r="R40" s="404"/>
      <c r="S40" s="405"/>
    </row>
    <row r="41" spans="1:19" s="1" customFormat="1" ht="409.5">
      <c r="A41" s="403" t="s">
        <v>337</v>
      </c>
      <c r="B41" s="404" t="s">
        <v>338</v>
      </c>
      <c r="C41" s="405" t="s">
        <v>19</v>
      </c>
      <c r="D41" s="406" t="s">
        <v>651</v>
      </c>
      <c r="E41" s="406" t="s">
        <v>340</v>
      </c>
      <c r="F41" s="406" t="s">
        <v>143</v>
      </c>
      <c r="G41" s="406" t="s">
        <v>341</v>
      </c>
      <c r="H41" s="408" t="s">
        <v>652</v>
      </c>
      <c r="I41" s="441"/>
      <c r="J41" s="442" t="s">
        <v>34</v>
      </c>
      <c r="K41" s="442" t="s">
        <v>34</v>
      </c>
      <c r="L41" s="442" t="s">
        <v>34</v>
      </c>
      <c r="M41" s="442">
        <v>2</v>
      </c>
      <c r="N41" s="442">
        <v>3</v>
      </c>
      <c r="O41" s="442">
        <v>5</v>
      </c>
      <c r="P41" s="444" t="s">
        <v>343</v>
      </c>
      <c r="Q41" s="403" t="s">
        <v>337</v>
      </c>
      <c r="R41" s="404" t="s">
        <v>338</v>
      </c>
      <c r="S41" s="405" t="s">
        <v>19</v>
      </c>
    </row>
    <row r="42" spans="1:19" s="1" customFormat="1" ht="276.75" customHeight="1">
      <c r="A42" s="403" t="s">
        <v>337</v>
      </c>
      <c r="B42" s="411" t="s">
        <v>344</v>
      </c>
      <c r="C42" s="405" t="s">
        <v>19</v>
      </c>
      <c r="D42" s="409" t="s">
        <v>345</v>
      </c>
      <c r="E42" s="406" t="s">
        <v>340</v>
      </c>
      <c r="F42" s="412" t="s">
        <v>346</v>
      </c>
      <c r="G42" s="409" t="s">
        <v>653</v>
      </c>
      <c r="H42" s="413" t="s">
        <v>654</v>
      </c>
      <c r="I42" s="447"/>
      <c r="J42" s="448" t="s">
        <v>34</v>
      </c>
      <c r="K42" s="448" t="s">
        <v>34</v>
      </c>
      <c r="L42" s="448" t="s">
        <v>34</v>
      </c>
      <c r="M42" s="448">
        <v>80</v>
      </c>
      <c r="N42" s="448">
        <v>150</v>
      </c>
      <c r="O42" s="448">
        <v>220</v>
      </c>
      <c r="P42" s="449" t="s">
        <v>343</v>
      </c>
      <c r="Q42" s="403" t="s">
        <v>337</v>
      </c>
      <c r="R42" s="411" t="s">
        <v>344</v>
      </c>
      <c r="S42" s="405" t="s">
        <v>19</v>
      </c>
    </row>
    <row r="43" spans="1:19" ht="341.25">
      <c r="A43" s="394" t="s">
        <v>337</v>
      </c>
      <c r="B43" s="173" t="s">
        <v>344</v>
      </c>
      <c r="C43" s="395" t="s">
        <v>19</v>
      </c>
      <c r="D43" s="414" t="s">
        <v>349</v>
      </c>
      <c r="E43" s="406" t="s">
        <v>340</v>
      </c>
      <c r="F43" s="409" t="s">
        <v>350</v>
      </c>
      <c r="G43" s="415" t="s">
        <v>655</v>
      </c>
      <c r="H43" s="416"/>
      <c r="I43" s="441" t="s">
        <v>656</v>
      </c>
      <c r="J43" s="448" t="s">
        <v>34</v>
      </c>
      <c r="K43" s="448" t="s">
        <v>34</v>
      </c>
      <c r="L43" s="448" t="s">
        <v>34</v>
      </c>
      <c r="M43" s="450">
        <f>4*100/13</f>
        <v>30.769230769230798</v>
      </c>
      <c r="N43" s="450">
        <f>6*100/13</f>
        <v>46.153846153846203</v>
      </c>
      <c r="O43" s="450">
        <f>10*100/13</f>
        <v>76.923076923076906</v>
      </c>
      <c r="P43" s="449" t="s">
        <v>343</v>
      </c>
      <c r="Q43" s="394" t="s">
        <v>337</v>
      </c>
      <c r="R43" s="173" t="s">
        <v>344</v>
      </c>
      <c r="S43" s="395" t="s">
        <v>19</v>
      </c>
    </row>
    <row r="44" spans="1:19" ht="341.25">
      <c r="A44" s="394" t="s">
        <v>337</v>
      </c>
      <c r="B44" s="173" t="s">
        <v>344</v>
      </c>
      <c r="C44" s="395" t="s">
        <v>19</v>
      </c>
      <c r="D44" s="417"/>
      <c r="E44" s="418"/>
      <c r="F44" s="409" t="s">
        <v>353</v>
      </c>
      <c r="G44" s="415" t="s">
        <v>354</v>
      </c>
      <c r="H44" s="408"/>
      <c r="I44" s="441" t="s">
        <v>657</v>
      </c>
      <c r="J44" s="448" t="s">
        <v>34</v>
      </c>
      <c r="K44" s="448" t="s">
        <v>34</v>
      </c>
      <c r="L44" s="448" t="s">
        <v>34</v>
      </c>
      <c r="M44" s="448">
        <v>10</v>
      </c>
      <c r="N44" s="448">
        <v>20</v>
      </c>
      <c r="O44" s="448">
        <v>30</v>
      </c>
      <c r="P44" s="449" t="s">
        <v>343</v>
      </c>
      <c r="Q44" s="394" t="s">
        <v>337</v>
      </c>
      <c r="R44" s="173" t="s">
        <v>344</v>
      </c>
      <c r="S44" s="395" t="s">
        <v>19</v>
      </c>
    </row>
    <row r="45" spans="1:19" s="1" customFormat="1" ht="26.25">
      <c r="A45" s="419"/>
      <c r="B45" s="173"/>
      <c r="C45" s="395"/>
      <c r="D45" s="420" t="s">
        <v>3</v>
      </c>
      <c r="E45" s="1097" t="s">
        <v>356</v>
      </c>
      <c r="F45" s="1097"/>
      <c r="G45" s="1097"/>
      <c r="H45" s="1097"/>
      <c r="I45" s="1097"/>
      <c r="J45" s="1097"/>
      <c r="K45" s="1097"/>
      <c r="L45" s="1097"/>
      <c r="M45" s="1097"/>
      <c r="N45" s="1097"/>
      <c r="O45" s="1098"/>
      <c r="P45" s="57"/>
      <c r="Q45" s="419"/>
      <c r="R45" s="173"/>
      <c r="S45" s="395"/>
    </row>
    <row r="46" spans="1:19" s="1" customFormat="1" ht="26.25">
      <c r="A46" s="419"/>
      <c r="B46" s="173"/>
      <c r="C46" s="395"/>
      <c r="D46" s="1001" t="s">
        <v>357</v>
      </c>
      <c r="E46" s="1002"/>
      <c r="F46" s="1002"/>
      <c r="G46" s="1002"/>
      <c r="H46" s="1002"/>
      <c r="I46" s="1002"/>
      <c r="J46" s="1002"/>
      <c r="K46" s="1002"/>
      <c r="L46" s="1002"/>
      <c r="M46" s="1002"/>
      <c r="N46" s="1002"/>
      <c r="O46" s="1003"/>
      <c r="P46" s="59"/>
      <c r="Q46" s="419"/>
      <c r="R46" s="173"/>
      <c r="S46" s="395"/>
    </row>
    <row r="47" spans="1:19" s="1" customFormat="1" ht="409.5">
      <c r="A47" s="394"/>
      <c r="B47" s="173" t="s">
        <v>358</v>
      </c>
      <c r="C47" s="395" t="s">
        <v>19</v>
      </c>
      <c r="D47" s="31" t="s">
        <v>359</v>
      </c>
      <c r="E47" s="32" t="s">
        <v>235</v>
      </c>
      <c r="F47" s="33" t="s">
        <v>236</v>
      </c>
      <c r="G47" s="421" t="s">
        <v>360</v>
      </c>
      <c r="H47" s="422" t="s">
        <v>658</v>
      </c>
      <c r="I47" s="380"/>
      <c r="J47" s="35" t="s">
        <v>34</v>
      </c>
      <c r="K47" s="35">
        <v>10</v>
      </c>
      <c r="L47" s="35">
        <v>25</v>
      </c>
      <c r="M47" s="35">
        <v>50</v>
      </c>
      <c r="N47" s="35">
        <v>80</v>
      </c>
      <c r="O47" s="35">
        <v>100</v>
      </c>
      <c r="P47" s="61" t="s">
        <v>362</v>
      </c>
      <c r="Q47" s="394"/>
      <c r="R47" s="173" t="s">
        <v>358</v>
      </c>
      <c r="S47" s="395" t="s">
        <v>19</v>
      </c>
    </row>
    <row r="48" spans="1:19" s="1" customFormat="1" ht="183.75">
      <c r="A48" s="394"/>
      <c r="B48" s="173" t="s">
        <v>358</v>
      </c>
      <c r="C48" s="395" t="s">
        <v>19</v>
      </c>
      <c r="D48" s="1094"/>
      <c r="E48" s="1091"/>
      <c r="F48" s="882" t="s">
        <v>212</v>
      </c>
      <c r="G48" s="423" t="s">
        <v>363</v>
      </c>
      <c r="H48" s="424"/>
      <c r="I48" s="380" t="s">
        <v>659</v>
      </c>
      <c r="J48" s="35" t="s">
        <v>34</v>
      </c>
      <c r="K48" s="35" t="s">
        <v>34</v>
      </c>
      <c r="L48" s="35" t="s">
        <v>34</v>
      </c>
      <c r="M48" s="35">
        <v>80</v>
      </c>
      <c r="N48" s="35">
        <v>90</v>
      </c>
      <c r="O48" s="35">
        <v>100</v>
      </c>
      <c r="P48" s="61" t="s">
        <v>362</v>
      </c>
      <c r="Q48" s="394"/>
      <c r="R48" s="173" t="s">
        <v>358</v>
      </c>
      <c r="S48" s="395" t="s">
        <v>19</v>
      </c>
    </row>
    <row r="49" spans="1:19" s="1" customFormat="1" ht="183.75">
      <c r="A49" s="394"/>
      <c r="B49" s="173" t="s">
        <v>358</v>
      </c>
      <c r="C49" s="395" t="s">
        <v>19</v>
      </c>
      <c r="D49" s="1095"/>
      <c r="E49" s="1092"/>
      <c r="F49" s="884"/>
      <c r="G49" s="426"/>
      <c r="H49" s="424"/>
      <c r="I49" s="380" t="s">
        <v>660</v>
      </c>
      <c r="J49" s="35" t="s">
        <v>34</v>
      </c>
      <c r="K49" s="35" t="s">
        <v>34</v>
      </c>
      <c r="L49" s="35" t="s">
        <v>34</v>
      </c>
      <c r="M49" s="35">
        <v>80</v>
      </c>
      <c r="N49" s="35">
        <v>90</v>
      </c>
      <c r="O49" s="35">
        <v>95</v>
      </c>
      <c r="P49" s="61" t="s">
        <v>362</v>
      </c>
      <c r="Q49" s="394"/>
      <c r="R49" s="173" t="s">
        <v>358</v>
      </c>
      <c r="S49" s="395" t="s">
        <v>19</v>
      </c>
    </row>
    <row r="50" spans="1:19" s="1" customFormat="1" ht="409.5">
      <c r="A50" s="394"/>
      <c r="B50" s="173" t="s">
        <v>366</v>
      </c>
      <c r="C50" s="395" t="s">
        <v>19</v>
      </c>
      <c r="D50" s="37" t="s">
        <v>367</v>
      </c>
      <c r="E50" s="33" t="s">
        <v>235</v>
      </c>
      <c r="F50" s="33" t="s">
        <v>236</v>
      </c>
      <c r="G50" s="33" t="s">
        <v>661</v>
      </c>
      <c r="H50" s="397"/>
      <c r="I50" s="380" t="s">
        <v>662</v>
      </c>
      <c r="J50" s="35" t="s">
        <v>34</v>
      </c>
      <c r="K50" s="35" t="s">
        <v>34</v>
      </c>
      <c r="L50" s="35" t="s">
        <v>34</v>
      </c>
      <c r="M50" s="35">
        <v>30</v>
      </c>
      <c r="N50" s="35">
        <v>50</v>
      </c>
      <c r="O50" s="35">
        <v>70</v>
      </c>
      <c r="P50" s="61" t="s">
        <v>236</v>
      </c>
      <c r="Q50" s="394"/>
      <c r="R50" s="173" t="s">
        <v>366</v>
      </c>
      <c r="S50" s="395" t="s">
        <v>19</v>
      </c>
    </row>
    <row r="51" spans="1:19" s="1" customFormat="1" ht="183.75">
      <c r="A51" s="394"/>
      <c r="B51" s="173" t="s">
        <v>366</v>
      </c>
      <c r="C51" s="395" t="s">
        <v>19</v>
      </c>
      <c r="D51" s="36"/>
      <c r="E51" s="33" t="s">
        <v>322</v>
      </c>
      <c r="F51" s="427" t="s">
        <v>212</v>
      </c>
      <c r="G51" s="33" t="s">
        <v>370</v>
      </c>
      <c r="H51" s="397"/>
      <c r="I51" s="380" t="s">
        <v>663</v>
      </c>
      <c r="J51" s="35">
        <v>80</v>
      </c>
      <c r="K51" s="35">
        <v>80</v>
      </c>
      <c r="L51" s="35">
        <v>90</v>
      </c>
      <c r="M51" s="35">
        <v>90</v>
      </c>
      <c r="N51" s="35">
        <v>100</v>
      </c>
      <c r="O51" s="60">
        <v>100</v>
      </c>
      <c r="P51" s="61" t="s">
        <v>143</v>
      </c>
      <c r="Q51" s="394"/>
      <c r="R51" s="173" t="s">
        <v>366</v>
      </c>
      <c r="S51" s="395" t="s">
        <v>19</v>
      </c>
    </row>
    <row r="52" spans="1:19" s="1" customFormat="1" ht="26.25">
      <c r="A52" s="428"/>
      <c r="B52" s="429"/>
      <c r="C52" s="430"/>
      <c r="D52" s="933" t="s">
        <v>372</v>
      </c>
      <c r="E52" s="934"/>
      <c r="F52" s="934"/>
      <c r="G52" s="934"/>
      <c r="H52" s="934"/>
      <c r="I52" s="934"/>
      <c r="J52" s="934"/>
      <c r="K52" s="934"/>
      <c r="L52" s="934"/>
      <c r="M52" s="934"/>
      <c r="N52" s="934"/>
      <c r="O52" s="935"/>
      <c r="P52" s="451"/>
      <c r="Q52" s="428"/>
      <c r="R52" s="429"/>
      <c r="S52" s="430"/>
    </row>
    <row r="53" spans="1:19" s="1" customFormat="1" ht="320.25" customHeight="1">
      <c r="A53" s="431" t="s">
        <v>373</v>
      </c>
      <c r="B53" s="404" t="s">
        <v>329</v>
      </c>
      <c r="C53" s="405" t="s">
        <v>19</v>
      </c>
      <c r="D53" s="432" t="s">
        <v>374</v>
      </c>
      <c r="E53" s="433" t="s">
        <v>375</v>
      </c>
      <c r="F53" s="406" t="s">
        <v>376</v>
      </c>
      <c r="G53" s="406" t="s">
        <v>377</v>
      </c>
      <c r="H53" s="408" t="s">
        <v>664</v>
      </c>
      <c r="I53" s="441"/>
      <c r="J53" s="452" t="s">
        <v>34</v>
      </c>
      <c r="K53" s="452" t="s">
        <v>34</v>
      </c>
      <c r="L53" s="452" t="s">
        <v>34</v>
      </c>
      <c r="M53" s="452">
        <v>3</v>
      </c>
      <c r="N53" s="452">
        <v>5</v>
      </c>
      <c r="O53" s="452">
        <v>10</v>
      </c>
      <c r="P53" s="453"/>
      <c r="Q53" s="431" t="s">
        <v>373</v>
      </c>
      <c r="R53" s="404" t="s">
        <v>329</v>
      </c>
      <c r="S53" s="405" t="s">
        <v>19</v>
      </c>
    </row>
    <row r="54" spans="1:19" s="1" customFormat="1" ht="26.25">
      <c r="A54" s="434"/>
      <c r="B54" s="411"/>
      <c r="C54" s="435"/>
      <c r="D54" s="1019" t="s">
        <v>379</v>
      </c>
      <c r="E54" s="1020"/>
      <c r="F54" s="1020"/>
      <c r="G54" s="1020"/>
      <c r="H54" s="1020"/>
      <c r="I54" s="1020"/>
      <c r="J54" s="1020"/>
      <c r="K54" s="1020"/>
      <c r="L54" s="1020"/>
      <c r="M54" s="1020"/>
      <c r="N54" s="1020"/>
      <c r="O54" s="1021"/>
      <c r="P54" s="454"/>
      <c r="Q54" s="434"/>
      <c r="R54" s="411"/>
      <c r="S54" s="435"/>
    </row>
    <row r="55" spans="1:19" s="1" customFormat="1" ht="135.75" customHeight="1">
      <c r="A55" s="394" t="s">
        <v>380</v>
      </c>
      <c r="B55" s="173"/>
      <c r="C55" s="395" t="s">
        <v>19</v>
      </c>
      <c r="D55" s="37" t="s">
        <v>381</v>
      </c>
      <c r="E55" s="34" t="s">
        <v>235</v>
      </c>
      <c r="F55" s="34" t="s">
        <v>236</v>
      </c>
      <c r="G55" s="34" t="s">
        <v>382</v>
      </c>
      <c r="H55" s="397" t="s">
        <v>665</v>
      </c>
      <c r="I55" s="377"/>
      <c r="J55" s="35" t="s">
        <v>34</v>
      </c>
      <c r="K55" s="35" t="s">
        <v>34</v>
      </c>
      <c r="L55" s="35" t="s">
        <v>34</v>
      </c>
      <c r="M55" s="35">
        <v>80</v>
      </c>
      <c r="N55" s="35">
        <v>82</v>
      </c>
      <c r="O55" s="60">
        <v>84</v>
      </c>
      <c r="P55" s="61" t="s">
        <v>236</v>
      </c>
      <c r="Q55" s="394" t="s">
        <v>380</v>
      </c>
      <c r="R55" s="173"/>
      <c r="S55" s="395" t="s">
        <v>19</v>
      </c>
    </row>
    <row r="56" spans="1:19" s="1" customFormat="1" ht="236.25">
      <c r="A56" s="394" t="s">
        <v>384</v>
      </c>
      <c r="B56" s="173" t="s">
        <v>385</v>
      </c>
      <c r="C56" s="395" t="s">
        <v>19</v>
      </c>
      <c r="D56" s="37" t="s">
        <v>386</v>
      </c>
      <c r="E56" s="34" t="s">
        <v>235</v>
      </c>
      <c r="F56" s="34" t="s">
        <v>236</v>
      </c>
      <c r="G56" s="34" t="s">
        <v>666</v>
      </c>
      <c r="H56" s="397" t="s">
        <v>667</v>
      </c>
      <c r="I56" s="377"/>
      <c r="J56" s="35" t="s">
        <v>34</v>
      </c>
      <c r="K56" s="35" t="s">
        <v>34</v>
      </c>
      <c r="L56" s="35" t="s">
        <v>34</v>
      </c>
      <c r="M56" s="35">
        <v>80</v>
      </c>
      <c r="N56" s="35">
        <v>80</v>
      </c>
      <c r="O56" s="60">
        <v>80</v>
      </c>
      <c r="P56" s="75" t="s">
        <v>236</v>
      </c>
      <c r="Q56" s="394" t="s">
        <v>384</v>
      </c>
      <c r="R56" s="173" t="s">
        <v>385</v>
      </c>
      <c r="S56" s="395" t="s">
        <v>19</v>
      </c>
    </row>
    <row r="57" spans="1:19" s="1" customFormat="1" ht="409.5">
      <c r="A57" s="394" t="s">
        <v>384</v>
      </c>
      <c r="B57" s="173" t="s">
        <v>385</v>
      </c>
      <c r="C57" s="395" t="s">
        <v>19</v>
      </c>
      <c r="D57" s="37"/>
      <c r="E57" s="34"/>
      <c r="F57" s="34"/>
      <c r="G57" s="34" t="s">
        <v>668</v>
      </c>
      <c r="H57" s="397" t="s">
        <v>669</v>
      </c>
      <c r="I57" s="377"/>
      <c r="J57" s="35" t="s">
        <v>34</v>
      </c>
      <c r="K57" s="35" t="s">
        <v>34</v>
      </c>
      <c r="L57" s="35" t="s">
        <v>34</v>
      </c>
      <c r="M57" s="35">
        <v>80</v>
      </c>
      <c r="N57" s="35">
        <v>80</v>
      </c>
      <c r="O57" s="60">
        <v>80</v>
      </c>
      <c r="P57" s="75" t="s">
        <v>236</v>
      </c>
      <c r="Q57" s="394" t="s">
        <v>384</v>
      </c>
      <c r="R57" s="173" t="s">
        <v>385</v>
      </c>
      <c r="S57" s="395" t="s">
        <v>19</v>
      </c>
    </row>
    <row r="58" spans="1:19" s="1" customFormat="1" ht="26.25">
      <c r="A58" s="394"/>
      <c r="B58" s="173"/>
      <c r="C58" s="436"/>
      <c r="D58" s="907" t="s">
        <v>391</v>
      </c>
      <c r="E58" s="876"/>
      <c r="F58" s="876"/>
      <c r="G58" s="876"/>
      <c r="H58" s="876"/>
      <c r="I58" s="876"/>
      <c r="J58" s="876"/>
      <c r="K58" s="876"/>
      <c r="L58" s="876"/>
      <c r="M58" s="876"/>
      <c r="N58" s="876"/>
      <c r="O58" s="877"/>
      <c r="P58" s="455"/>
      <c r="Q58" s="394"/>
      <c r="R58" s="173"/>
      <c r="S58" s="436"/>
    </row>
    <row r="59" spans="1:19" s="1" customFormat="1" ht="236.25">
      <c r="A59" s="394"/>
      <c r="B59" s="173"/>
      <c r="C59" s="437" t="s">
        <v>19</v>
      </c>
      <c r="D59" s="36" t="s">
        <v>392</v>
      </c>
      <c r="E59" s="21" t="s">
        <v>393</v>
      </c>
      <c r="F59" s="438" t="s">
        <v>394</v>
      </c>
      <c r="G59" s="21" t="s">
        <v>670</v>
      </c>
      <c r="H59" s="439" t="s">
        <v>671</v>
      </c>
      <c r="I59" s="377"/>
      <c r="J59" s="18" t="s">
        <v>34</v>
      </c>
      <c r="K59" s="18" t="s">
        <v>34</v>
      </c>
      <c r="L59" s="18" t="s">
        <v>34</v>
      </c>
      <c r="M59" s="18">
        <v>30</v>
      </c>
      <c r="N59" s="18">
        <v>40</v>
      </c>
      <c r="O59" s="456">
        <v>50</v>
      </c>
      <c r="P59" s="457" t="s">
        <v>397</v>
      </c>
      <c r="Q59" s="394"/>
      <c r="R59" s="173"/>
      <c r="S59" s="437" t="s">
        <v>19</v>
      </c>
    </row>
    <row r="60" spans="1:19" s="1" customFormat="1" ht="236.25">
      <c r="A60" s="394"/>
      <c r="B60" s="173"/>
      <c r="C60" s="437" t="s">
        <v>19</v>
      </c>
      <c r="D60" s="36"/>
      <c r="E60" s="21"/>
      <c r="F60" s="438"/>
      <c r="G60" s="21" t="s">
        <v>672</v>
      </c>
      <c r="H60" s="439"/>
      <c r="I60" s="377" t="s">
        <v>673</v>
      </c>
      <c r="J60" s="18" t="s">
        <v>34</v>
      </c>
      <c r="K60" s="18" t="s">
        <v>34</v>
      </c>
      <c r="L60" s="18" t="s">
        <v>34</v>
      </c>
      <c r="M60" s="18">
        <v>40</v>
      </c>
      <c r="N60" s="456">
        <v>50</v>
      </c>
      <c r="O60" s="456">
        <v>60</v>
      </c>
      <c r="P60" s="457" t="s">
        <v>397</v>
      </c>
      <c r="Q60" s="394"/>
      <c r="R60" s="173"/>
      <c r="S60" s="437" t="s">
        <v>19</v>
      </c>
    </row>
    <row r="61" spans="1:19" s="1" customFormat="1" ht="315">
      <c r="A61" s="394"/>
      <c r="B61" s="173"/>
      <c r="C61" s="437" t="s">
        <v>19</v>
      </c>
      <c r="D61" s="36"/>
      <c r="E61" s="21"/>
      <c r="F61" s="438"/>
      <c r="G61" s="21" t="s">
        <v>674</v>
      </c>
      <c r="H61" s="439"/>
      <c r="I61" s="377" t="s">
        <v>675</v>
      </c>
      <c r="J61" s="18" t="s">
        <v>34</v>
      </c>
      <c r="K61" s="18" t="s">
        <v>34</v>
      </c>
      <c r="L61" s="18" t="s">
        <v>34</v>
      </c>
      <c r="M61" s="18">
        <v>40</v>
      </c>
      <c r="N61" s="18">
        <v>50</v>
      </c>
      <c r="O61" s="456">
        <v>60</v>
      </c>
      <c r="P61" s="457" t="s">
        <v>397</v>
      </c>
      <c r="Q61" s="394"/>
      <c r="R61" s="173"/>
      <c r="S61" s="437" t="s">
        <v>19</v>
      </c>
    </row>
    <row r="62" spans="1:19" s="1" customFormat="1" ht="280.5" customHeight="1">
      <c r="A62" s="394"/>
      <c r="B62" s="173"/>
      <c r="C62" s="437" t="s">
        <v>19</v>
      </c>
      <c r="D62" s="36"/>
      <c r="E62" s="21"/>
      <c r="F62" s="438"/>
      <c r="G62" s="21" t="s">
        <v>676</v>
      </c>
      <c r="H62" s="439"/>
      <c r="I62" s="377" t="s">
        <v>677</v>
      </c>
      <c r="J62" s="18" t="s">
        <v>34</v>
      </c>
      <c r="K62" s="18" t="s">
        <v>34</v>
      </c>
      <c r="L62" s="18" t="s">
        <v>34</v>
      </c>
      <c r="M62" s="18">
        <v>50</v>
      </c>
      <c r="N62" s="18">
        <v>60</v>
      </c>
      <c r="O62" s="456">
        <v>70</v>
      </c>
      <c r="P62" s="457" t="s">
        <v>397</v>
      </c>
      <c r="Q62" s="394"/>
      <c r="R62" s="173"/>
      <c r="S62" s="437" t="s">
        <v>19</v>
      </c>
    </row>
    <row r="63" spans="1:19" s="1" customFormat="1" ht="288.75">
      <c r="A63" s="394"/>
      <c r="B63" s="173"/>
      <c r="C63" s="437" t="s">
        <v>19</v>
      </c>
      <c r="D63" s="36"/>
      <c r="E63" s="21"/>
      <c r="F63" s="438"/>
      <c r="G63" s="21" t="s">
        <v>678</v>
      </c>
      <c r="H63" s="439"/>
      <c r="I63" s="377" t="s">
        <v>679</v>
      </c>
      <c r="J63" s="18" t="s">
        <v>34</v>
      </c>
      <c r="K63" s="18" t="s">
        <v>34</v>
      </c>
      <c r="L63" s="18" t="s">
        <v>34</v>
      </c>
      <c r="M63" s="18">
        <v>50</v>
      </c>
      <c r="N63" s="18">
        <v>60</v>
      </c>
      <c r="O63" s="456">
        <v>70</v>
      </c>
      <c r="P63" s="457" t="s">
        <v>397</v>
      </c>
      <c r="Q63" s="394"/>
      <c r="R63" s="173"/>
      <c r="S63" s="437" t="s">
        <v>19</v>
      </c>
    </row>
    <row r="64" spans="1:19" s="1" customFormat="1" ht="210">
      <c r="A64" s="394" t="s">
        <v>233</v>
      </c>
      <c r="B64" s="173" t="s">
        <v>385</v>
      </c>
      <c r="C64" s="395" t="s">
        <v>19</v>
      </c>
      <c r="D64" s="37" t="s">
        <v>406</v>
      </c>
      <c r="E64" s="33" t="s">
        <v>407</v>
      </c>
      <c r="F64" s="21" t="s">
        <v>408</v>
      </c>
      <c r="G64" s="33" t="s">
        <v>680</v>
      </c>
      <c r="H64" s="424"/>
      <c r="I64" s="380" t="s">
        <v>681</v>
      </c>
      <c r="J64" s="18">
        <v>0</v>
      </c>
      <c r="K64" s="18">
        <v>20</v>
      </c>
      <c r="L64" s="18">
        <v>40</v>
      </c>
      <c r="M64" s="18">
        <v>60</v>
      </c>
      <c r="N64" s="18">
        <v>80</v>
      </c>
      <c r="O64" s="51">
        <v>100</v>
      </c>
      <c r="P64" s="52" t="s">
        <v>180</v>
      </c>
      <c r="Q64" s="394" t="s">
        <v>233</v>
      </c>
      <c r="R64" s="173" t="s">
        <v>385</v>
      </c>
      <c r="S64" s="395" t="s">
        <v>19</v>
      </c>
    </row>
    <row r="65" spans="1:19" s="1" customFormat="1" ht="26.25">
      <c r="A65" s="419"/>
      <c r="B65" s="173"/>
      <c r="C65" s="395"/>
      <c r="D65" s="30" t="s">
        <v>3</v>
      </c>
      <c r="E65" s="1089" t="s">
        <v>411</v>
      </c>
      <c r="F65" s="1089"/>
      <c r="G65" s="1089"/>
      <c r="H65" s="1089"/>
      <c r="I65" s="1089"/>
      <c r="J65" s="1089"/>
      <c r="K65" s="1089"/>
      <c r="L65" s="1089"/>
      <c r="M65" s="1089"/>
      <c r="N65" s="1089"/>
      <c r="O65" s="1096"/>
      <c r="P65" s="57"/>
      <c r="Q65" s="419"/>
      <c r="R65" s="173"/>
      <c r="S65" s="395"/>
    </row>
    <row r="66" spans="1:19" s="1" customFormat="1" ht="26.25">
      <c r="A66" s="419"/>
      <c r="B66" s="173"/>
      <c r="C66" s="395"/>
      <c r="D66" s="1001" t="s">
        <v>412</v>
      </c>
      <c r="E66" s="1002"/>
      <c r="F66" s="1002"/>
      <c r="G66" s="1002"/>
      <c r="H66" s="1002"/>
      <c r="I66" s="1002"/>
      <c r="J66" s="1002"/>
      <c r="K66" s="1002"/>
      <c r="L66" s="1002"/>
      <c r="M66" s="1002"/>
      <c r="N66" s="1002"/>
      <c r="O66" s="1003"/>
      <c r="P66" s="59"/>
      <c r="Q66" s="419"/>
      <c r="R66" s="173"/>
      <c r="S66" s="395"/>
    </row>
    <row r="67" spans="1:19" s="1" customFormat="1" ht="409.5">
      <c r="A67" s="459" t="s">
        <v>413</v>
      </c>
      <c r="B67" s="429" t="s">
        <v>414</v>
      </c>
      <c r="C67" s="430" t="s">
        <v>19</v>
      </c>
      <c r="D67" s="460" t="s">
        <v>415</v>
      </c>
      <c r="E67" s="354" t="s">
        <v>416</v>
      </c>
      <c r="F67" s="461" t="s">
        <v>417</v>
      </c>
      <c r="G67" s="462" t="s">
        <v>418</v>
      </c>
      <c r="H67" s="463" t="s">
        <v>682</v>
      </c>
      <c r="I67" s="476"/>
      <c r="J67" s="477">
        <v>80</v>
      </c>
      <c r="K67" s="477">
        <v>82</v>
      </c>
      <c r="L67" s="477">
        <v>85</v>
      </c>
      <c r="M67" s="477">
        <v>86</v>
      </c>
      <c r="N67" s="477">
        <v>87</v>
      </c>
      <c r="O67" s="478">
        <v>88</v>
      </c>
      <c r="P67" s="479" t="s">
        <v>417</v>
      </c>
      <c r="Q67" s="459" t="s">
        <v>413</v>
      </c>
      <c r="R67" s="429" t="s">
        <v>414</v>
      </c>
      <c r="S67" s="430" t="s">
        <v>19</v>
      </c>
    </row>
    <row r="68" spans="1:19" s="1" customFormat="1" ht="210">
      <c r="A68" s="434" t="s">
        <v>420</v>
      </c>
      <c r="B68" s="411" t="s">
        <v>421</v>
      </c>
      <c r="C68" s="435" t="s">
        <v>19</v>
      </c>
      <c r="D68" s="837" t="s">
        <v>422</v>
      </c>
      <c r="E68" s="101" t="s">
        <v>252</v>
      </c>
      <c r="F68" s="464" t="s">
        <v>423</v>
      </c>
      <c r="G68" s="102" t="s">
        <v>424</v>
      </c>
      <c r="H68" s="465"/>
      <c r="I68" s="480" t="s">
        <v>683</v>
      </c>
      <c r="J68" s="425">
        <v>10</v>
      </c>
      <c r="K68" s="425">
        <v>10</v>
      </c>
      <c r="L68" s="425">
        <v>10</v>
      </c>
      <c r="M68" s="425">
        <v>10</v>
      </c>
      <c r="N68" s="425">
        <v>10</v>
      </c>
      <c r="O68" s="481">
        <v>10</v>
      </c>
      <c r="P68" s="482" t="s">
        <v>426</v>
      </c>
      <c r="Q68" s="434" t="s">
        <v>420</v>
      </c>
      <c r="R68" s="411" t="s">
        <v>421</v>
      </c>
      <c r="S68" s="435" t="s">
        <v>19</v>
      </c>
    </row>
    <row r="69" spans="1:19" s="1" customFormat="1" ht="233.25" customHeight="1">
      <c r="A69" s="466" t="s">
        <v>420</v>
      </c>
      <c r="B69" s="467" t="s">
        <v>421</v>
      </c>
      <c r="C69" s="468" t="s">
        <v>19</v>
      </c>
      <c r="D69" s="838"/>
      <c r="E69" s="469" t="s">
        <v>427</v>
      </c>
      <c r="F69" s="470" t="s">
        <v>428</v>
      </c>
      <c r="G69" s="471" t="s">
        <v>429</v>
      </c>
      <c r="H69" s="472"/>
      <c r="I69" s="382" t="s">
        <v>684</v>
      </c>
      <c r="J69" s="383">
        <v>1</v>
      </c>
      <c r="K69" s="383">
        <v>3</v>
      </c>
      <c r="L69" s="383">
        <v>3</v>
      </c>
      <c r="M69" s="383">
        <v>3</v>
      </c>
      <c r="N69" s="383">
        <v>3</v>
      </c>
      <c r="O69" s="483">
        <v>3</v>
      </c>
      <c r="P69" s="484" t="s">
        <v>426</v>
      </c>
      <c r="Q69" s="466" t="s">
        <v>420</v>
      </c>
      <c r="R69" s="467" t="s">
        <v>421</v>
      </c>
      <c r="S69" s="468" t="s">
        <v>19</v>
      </c>
    </row>
    <row r="70" spans="1:19" s="1" customFormat="1" ht="26.25">
      <c r="A70" s="85"/>
      <c r="B70" s="473"/>
      <c r="C70" s="85"/>
      <c r="J70" s="70"/>
      <c r="K70" s="70"/>
      <c r="L70" s="71"/>
      <c r="M70" s="83"/>
      <c r="O70" s="70"/>
      <c r="P70" s="84"/>
      <c r="Q70" s="85"/>
      <c r="R70" s="473"/>
      <c r="S70" s="85"/>
    </row>
    <row r="71" spans="1:19" s="1" customFormat="1" ht="26.25">
      <c r="A71" s="85"/>
      <c r="B71" s="473"/>
      <c r="C71" s="85"/>
      <c r="D71" s="1">
        <v>15</v>
      </c>
      <c r="E71" s="1" t="s">
        <v>600</v>
      </c>
      <c r="G71" s="474" t="s">
        <v>564</v>
      </c>
      <c r="H71" s="475">
        <v>13</v>
      </c>
      <c r="I71" s="474"/>
      <c r="J71" s="70"/>
      <c r="K71" s="70"/>
      <c r="L71" s="71"/>
      <c r="M71" s="83"/>
      <c r="O71" s="70"/>
      <c r="P71" s="84"/>
      <c r="Q71" s="85"/>
      <c r="R71" s="473"/>
      <c r="S71" s="85"/>
    </row>
    <row r="72" spans="1:19" s="1" customFormat="1" ht="26.25">
      <c r="A72" s="85"/>
      <c r="B72" s="473"/>
      <c r="C72" s="85"/>
      <c r="G72" s="145" t="s">
        <v>565</v>
      </c>
      <c r="H72" s="146">
        <v>22</v>
      </c>
      <c r="I72" s="145"/>
      <c r="J72" s="70"/>
      <c r="K72" s="70"/>
      <c r="L72" s="71"/>
      <c r="M72" s="83"/>
      <c r="O72" s="70"/>
      <c r="P72" s="84"/>
      <c r="Q72" s="85"/>
      <c r="R72" s="473"/>
      <c r="S72" s="85"/>
    </row>
    <row r="73" spans="1:19" s="1" customFormat="1" ht="26.25">
      <c r="A73" s="85"/>
      <c r="B73" s="473"/>
      <c r="C73" s="85"/>
      <c r="G73" s="73" t="s">
        <v>566</v>
      </c>
      <c r="H73" s="147">
        <f>H71+H72</f>
        <v>35</v>
      </c>
      <c r="I73" s="73"/>
      <c r="J73" s="70"/>
      <c r="K73" s="70"/>
      <c r="L73" s="71"/>
      <c r="M73" s="83"/>
      <c r="O73" s="70"/>
      <c r="P73" s="84"/>
      <c r="Q73" s="85"/>
      <c r="R73" s="473"/>
      <c r="S73" s="85"/>
    </row>
  </sheetData>
  <mergeCells count="55">
    <mergeCell ref="D1:S1"/>
    <mergeCell ref="E2:S2"/>
    <mergeCell ref="E3:S3"/>
    <mergeCell ref="E4:S4"/>
    <mergeCell ref="E5:S5"/>
    <mergeCell ref="E6:S6"/>
    <mergeCell ref="E7:S7"/>
    <mergeCell ref="E8:S8"/>
    <mergeCell ref="E9:S9"/>
    <mergeCell ref="E10:S10"/>
    <mergeCell ref="E11:S11"/>
    <mergeCell ref="E12:S12"/>
    <mergeCell ref="E13:S13"/>
    <mergeCell ref="E14:S14"/>
    <mergeCell ref="E15:S15"/>
    <mergeCell ref="E16:S16"/>
    <mergeCell ref="E17:S17"/>
    <mergeCell ref="E18:S18"/>
    <mergeCell ref="D19:S19"/>
    <mergeCell ref="E22:P22"/>
    <mergeCell ref="D54:O54"/>
    <mergeCell ref="D58:O58"/>
    <mergeCell ref="E65:O65"/>
    <mergeCell ref="J23:O23"/>
    <mergeCell ref="D25:O25"/>
    <mergeCell ref="D32:O32"/>
    <mergeCell ref="D40:P40"/>
    <mergeCell ref="E45:O45"/>
    <mergeCell ref="P23:P24"/>
    <mergeCell ref="D68:D69"/>
    <mergeCell ref="E23:E24"/>
    <mergeCell ref="E48:E49"/>
    <mergeCell ref="F23:F24"/>
    <mergeCell ref="F48:F49"/>
    <mergeCell ref="D66:O66"/>
    <mergeCell ref="D23:D24"/>
    <mergeCell ref="D26:D31"/>
    <mergeCell ref="D33:D36"/>
    <mergeCell ref="D37:D39"/>
    <mergeCell ref="D48:D49"/>
    <mergeCell ref="G23:G24"/>
    <mergeCell ref="H23:H24"/>
    <mergeCell ref="I23:I24"/>
    <mergeCell ref="D46:O46"/>
    <mergeCell ref="D52:O52"/>
    <mergeCell ref="Q23:Q24"/>
    <mergeCell ref="R23:R24"/>
    <mergeCell ref="S23:S24"/>
    <mergeCell ref="A20:C22"/>
    <mergeCell ref="E20:P21"/>
    <mergeCell ref="Q20:S22"/>
    <mergeCell ref="A23:A24"/>
    <mergeCell ref="B23:B24"/>
    <mergeCell ref="C23:C24"/>
    <mergeCell ref="D20:D21"/>
  </mergeCells>
  <pageMargins left="0.7" right="0.7" top="0.75" bottom="0.75" header="0.3" footer="0.3"/>
  <pageSetup paperSize="9" scale="44" fitToHeight="0" orientation="landscape" r:id="rId1"/>
  <rowBreaks count="12" manualBreakCount="12">
    <brk id="19" max="16383" man="1"/>
    <brk id="31" max="16383" man="1"/>
    <brk id="36" max="16383" man="1"/>
    <brk id="39" max="16383" man="1"/>
    <brk id="42" max="16383" man="1"/>
    <brk id="44" max="16383" man="1"/>
    <brk id="48" max="16383" man="1"/>
    <brk id="51" max="16383" man="1"/>
    <brk id="51" max="16383" man="1"/>
    <brk id="53" max="16383" man="1"/>
    <brk id="57" max="16383" man="1"/>
    <brk id="64" max="1638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pageSetUpPr fitToPage="1"/>
  </sheetPr>
  <dimension ref="A1:S43"/>
  <sheetViews>
    <sheetView view="pageBreakPreview" zoomScale="70" zoomScaleNormal="70" workbookViewId="0">
      <selection activeCell="O12" sqref="O12"/>
    </sheetView>
  </sheetViews>
  <sheetFormatPr defaultColWidth="9" defaultRowHeight="26.25"/>
  <cols>
    <col min="1" max="3" width="10.375" style="347" customWidth="1"/>
    <col min="4" max="4" width="19.75" customWidth="1"/>
    <col min="5" max="5" width="17.625" customWidth="1"/>
    <col min="6" max="7" width="24.375" customWidth="1"/>
    <col min="8" max="9" width="32.125" customWidth="1"/>
    <col min="10" max="15" width="11.625" style="90" customWidth="1"/>
    <col min="16" max="16" width="26.5" style="90" customWidth="1"/>
    <col min="17" max="19" width="10.375" style="347" hidden="1" customWidth="1"/>
  </cols>
  <sheetData>
    <row r="1" spans="1:19" s="86" customFormat="1" ht="51" customHeight="1">
      <c r="D1" s="1135" t="s">
        <v>685</v>
      </c>
      <c r="E1" s="1136"/>
      <c r="F1" s="1136"/>
      <c r="G1" s="1136"/>
      <c r="H1" s="1136"/>
      <c r="I1" s="1136"/>
      <c r="J1" s="1136"/>
      <c r="K1" s="1136"/>
      <c r="L1" s="1136"/>
      <c r="M1" s="1136"/>
      <c r="N1" s="1136"/>
      <c r="O1" s="1136"/>
      <c r="P1" s="1136"/>
      <c r="Q1" s="1136"/>
      <c r="R1" s="1136"/>
      <c r="S1" s="1137"/>
    </row>
    <row r="2" spans="1:19" s="87" customFormat="1" ht="52.5">
      <c r="D2" s="91" t="s">
        <v>519</v>
      </c>
      <c r="E2" s="1061" t="s">
        <v>686</v>
      </c>
      <c r="F2" s="1061"/>
      <c r="G2" s="1061"/>
      <c r="H2" s="1061"/>
      <c r="I2" s="1061"/>
      <c r="J2" s="1061"/>
      <c r="K2" s="1061"/>
      <c r="L2" s="1061"/>
      <c r="M2" s="1061"/>
      <c r="N2" s="1061"/>
      <c r="O2" s="1061"/>
      <c r="P2" s="1061"/>
      <c r="Q2" s="1061"/>
      <c r="R2" s="1061"/>
      <c r="S2" s="1062"/>
    </row>
    <row r="3" spans="1:19" s="86" customFormat="1">
      <c r="D3" s="6" t="s">
        <v>521</v>
      </c>
      <c r="E3" s="1025" t="s">
        <v>687</v>
      </c>
      <c r="F3" s="1026"/>
      <c r="G3" s="1026"/>
      <c r="H3" s="1026"/>
      <c r="I3" s="1026"/>
      <c r="J3" s="1026"/>
      <c r="K3" s="1026"/>
      <c r="L3" s="1026"/>
      <c r="M3" s="1026"/>
      <c r="N3" s="1026"/>
      <c r="O3" s="1026"/>
      <c r="P3" s="1026"/>
      <c r="Q3" s="1026"/>
      <c r="R3" s="1026"/>
      <c r="S3" s="1027"/>
    </row>
    <row r="4" spans="1:19" s="86" customFormat="1">
      <c r="D4" s="9"/>
      <c r="E4" s="1025" t="s">
        <v>688</v>
      </c>
      <c r="F4" s="1026"/>
      <c r="G4" s="1026"/>
      <c r="H4" s="1026"/>
      <c r="I4" s="1026"/>
      <c r="J4" s="1026"/>
      <c r="K4" s="1026"/>
      <c r="L4" s="1026"/>
      <c r="M4" s="1026"/>
      <c r="N4" s="1026"/>
      <c r="O4" s="1026"/>
      <c r="P4" s="1026"/>
      <c r="Q4" s="1026"/>
      <c r="R4" s="1026"/>
      <c r="S4" s="1027"/>
    </row>
    <row r="5" spans="1:19" s="86" customFormat="1">
      <c r="A5" s="64"/>
      <c r="B5" s="64"/>
      <c r="C5" s="348"/>
      <c r="D5" s="9"/>
      <c r="E5" s="92"/>
      <c r="F5" s="92"/>
      <c r="G5" s="1"/>
      <c r="H5" s="2"/>
      <c r="I5" s="2"/>
      <c r="J5" s="2"/>
      <c r="K5" s="2"/>
      <c r="L5" s="2"/>
      <c r="M5" s="2"/>
      <c r="N5" s="148"/>
      <c r="O5" s="2"/>
      <c r="P5" s="1"/>
      <c r="Q5" s="64"/>
      <c r="R5" s="64"/>
      <c r="S5" s="348"/>
    </row>
    <row r="6" spans="1:19" s="86" customFormat="1">
      <c r="D6" s="11" t="s">
        <v>526</v>
      </c>
      <c r="E6" s="1014" t="s">
        <v>689</v>
      </c>
      <c r="F6" s="1015"/>
      <c r="G6" s="1015"/>
      <c r="H6" s="1015"/>
      <c r="I6" s="1015"/>
      <c r="J6" s="1015"/>
      <c r="K6" s="1015"/>
      <c r="L6" s="1015"/>
      <c r="M6" s="1015"/>
      <c r="N6" s="1015"/>
      <c r="O6" s="1015"/>
      <c r="P6" s="1015"/>
      <c r="Q6" s="1015"/>
      <c r="R6" s="1015"/>
      <c r="S6" s="1016"/>
    </row>
    <row r="7" spans="1:19" s="86" customFormat="1">
      <c r="D7" s="9"/>
      <c r="E7" s="1015" t="s">
        <v>690</v>
      </c>
      <c r="F7" s="1015"/>
      <c r="G7" s="1015"/>
      <c r="H7" s="1015"/>
      <c r="I7" s="1015"/>
      <c r="J7" s="1015"/>
      <c r="K7" s="1015"/>
      <c r="L7" s="1015"/>
      <c r="M7" s="1015"/>
      <c r="N7" s="1015"/>
      <c r="O7" s="1015"/>
      <c r="P7" s="1015"/>
      <c r="Q7" s="1015"/>
      <c r="R7" s="1015"/>
      <c r="S7" s="1016"/>
    </row>
    <row r="8" spans="1:19" s="86" customFormat="1">
      <c r="D8" s="9"/>
      <c r="E8" s="1015" t="s">
        <v>691</v>
      </c>
      <c r="F8" s="1015"/>
      <c r="G8" s="1015"/>
      <c r="H8" s="1015"/>
      <c r="I8" s="1015"/>
      <c r="J8" s="1015"/>
      <c r="K8" s="1015"/>
      <c r="L8" s="1015"/>
      <c r="M8" s="1015"/>
      <c r="N8" s="1015"/>
      <c r="O8" s="1015"/>
      <c r="P8" s="1015"/>
      <c r="Q8" s="1015"/>
      <c r="R8" s="1015"/>
      <c r="S8" s="1016"/>
    </row>
    <row r="9" spans="1:19" s="86" customFormat="1">
      <c r="D9" s="9"/>
      <c r="E9" s="1026" t="s">
        <v>692</v>
      </c>
      <c r="F9" s="1026"/>
      <c r="G9" s="1026"/>
      <c r="H9" s="1026"/>
      <c r="I9" s="1026"/>
      <c r="J9" s="1026"/>
      <c r="K9" s="1026"/>
      <c r="L9" s="1026"/>
      <c r="M9" s="1026"/>
      <c r="N9" s="1026"/>
      <c r="O9" s="1026"/>
      <c r="P9" s="1026"/>
      <c r="Q9" s="1026"/>
      <c r="R9" s="1026"/>
      <c r="S9" s="1027"/>
    </row>
    <row r="10" spans="1:19" s="86" customFormat="1">
      <c r="A10" s="64"/>
      <c r="B10" s="64"/>
      <c r="C10" s="348"/>
      <c r="D10" s="9"/>
      <c r="E10" s="92"/>
      <c r="F10" s="92"/>
      <c r="G10" s="2"/>
      <c r="H10" s="2"/>
      <c r="I10" s="2"/>
      <c r="J10" s="2"/>
      <c r="K10" s="2"/>
      <c r="L10" s="2"/>
      <c r="M10" s="2"/>
      <c r="N10" s="148"/>
      <c r="O10" s="2"/>
      <c r="P10" s="1"/>
      <c r="Q10" s="64"/>
      <c r="R10" s="64"/>
      <c r="S10" s="348"/>
    </row>
    <row r="11" spans="1:19" s="86" customFormat="1">
      <c r="D11" s="9" t="s">
        <v>531</v>
      </c>
      <c r="E11" s="1014" t="s">
        <v>693</v>
      </c>
      <c r="F11" s="1015"/>
      <c r="G11" s="1015"/>
      <c r="H11" s="1015"/>
      <c r="I11" s="1015"/>
      <c r="J11" s="1015"/>
      <c r="K11" s="1015"/>
      <c r="L11" s="1015"/>
      <c r="M11" s="1015"/>
      <c r="N11" s="1015"/>
      <c r="O11" s="1015"/>
      <c r="P11" s="1015"/>
      <c r="Q11" s="1015"/>
      <c r="R11" s="1015"/>
      <c r="S11" s="1016"/>
    </row>
    <row r="12" spans="1:19">
      <c r="C12" s="349"/>
      <c r="D12" s="93"/>
      <c r="S12" s="349"/>
    </row>
    <row r="13" spans="1:19" ht="14.25">
      <c r="A13" s="828" t="s">
        <v>0</v>
      </c>
      <c r="B13" s="806"/>
      <c r="C13" s="807"/>
      <c r="D13" s="1123" t="s">
        <v>431</v>
      </c>
      <c r="E13" s="1117" t="s">
        <v>432</v>
      </c>
      <c r="F13" s="1118"/>
      <c r="G13" s="1118"/>
      <c r="H13" s="1118"/>
      <c r="I13" s="1118"/>
      <c r="J13" s="1118"/>
      <c r="K13" s="1118"/>
      <c r="L13" s="1118"/>
      <c r="M13" s="1118"/>
      <c r="N13" s="1118"/>
      <c r="O13" s="1118"/>
      <c r="P13" s="1119"/>
      <c r="Q13" s="828" t="s">
        <v>0</v>
      </c>
      <c r="R13" s="806"/>
      <c r="S13" s="807"/>
    </row>
    <row r="14" spans="1:19" ht="14.25">
      <c r="A14" s="829"/>
      <c r="B14" s="809"/>
      <c r="C14" s="810"/>
      <c r="D14" s="1124"/>
      <c r="E14" s="1120"/>
      <c r="F14" s="1121"/>
      <c r="G14" s="1121"/>
      <c r="H14" s="1121"/>
      <c r="I14" s="1121"/>
      <c r="J14" s="1121"/>
      <c r="K14" s="1121"/>
      <c r="L14" s="1121"/>
      <c r="M14" s="1121"/>
      <c r="N14" s="1121"/>
      <c r="O14" s="1121"/>
      <c r="P14" s="1122"/>
      <c r="Q14" s="829"/>
      <c r="R14" s="809"/>
      <c r="S14" s="810"/>
    </row>
    <row r="15" spans="1:19" ht="52.5">
      <c r="A15" s="829"/>
      <c r="B15" s="809"/>
      <c r="C15" s="810"/>
      <c r="D15" s="94" t="s">
        <v>3</v>
      </c>
      <c r="E15" s="1132" t="s">
        <v>433</v>
      </c>
      <c r="F15" s="1133"/>
      <c r="G15" s="1133"/>
      <c r="H15" s="1133"/>
      <c r="I15" s="1133"/>
      <c r="J15" s="1133"/>
      <c r="K15" s="1133"/>
      <c r="L15" s="1133"/>
      <c r="M15" s="1133"/>
      <c r="N15" s="1133"/>
      <c r="O15" s="1133"/>
      <c r="P15" s="1134"/>
      <c r="Q15" s="829"/>
      <c r="R15" s="809"/>
      <c r="S15" s="810"/>
    </row>
    <row r="16" spans="1:19">
      <c r="A16" s="915" t="s">
        <v>5</v>
      </c>
      <c r="B16" s="809" t="s">
        <v>6</v>
      </c>
      <c r="C16" s="810" t="s">
        <v>7</v>
      </c>
      <c r="D16" s="1124" t="s">
        <v>8</v>
      </c>
      <c r="E16" s="1128" t="s">
        <v>9</v>
      </c>
      <c r="F16" s="1128" t="s">
        <v>166</v>
      </c>
      <c r="G16" s="1128" t="s">
        <v>11</v>
      </c>
      <c r="H16" s="1128" t="s">
        <v>12</v>
      </c>
      <c r="I16" s="1128" t="s">
        <v>13</v>
      </c>
      <c r="J16" s="1128" t="s">
        <v>14</v>
      </c>
      <c r="K16" s="1128"/>
      <c r="L16" s="1128"/>
      <c r="M16" s="1128"/>
      <c r="N16" s="1128"/>
      <c r="O16" s="1130"/>
      <c r="P16" s="1126" t="s">
        <v>15</v>
      </c>
      <c r="Q16" s="915" t="s">
        <v>5</v>
      </c>
      <c r="R16" s="809" t="s">
        <v>6</v>
      </c>
      <c r="S16" s="810" t="s">
        <v>7</v>
      </c>
    </row>
    <row r="17" spans="1:19">
      <c r="A17" s="916"/>
      <c r="B17" s="919"/>
      <c r="C17" s="843"/>
      <c r="D17" s="1125"/>
      <c r="E17" s="1129"/>
      <c r="F17" s="1129"/>
      <c r="G17" s="1129"/>
      <c r="H17" s="1129"/>
      <c r="I17" s="1129"/>
      <c r="J17" s="97">
        <v>65</v>
      </c>
      <c r="K17" s="97">
        <v>66</v>
      </c>
      <c r="L17" s="97">
        <v>67</v>
      </c>
      <c r="M17" s="97">
        <v>68</v>
      </c>
      <c r="N17" s="97">
        <v>69</v>
      </c>
      <c r="O17" s="151">
        <v>70</v>
      </c>
      <c r="P17" s="1127"/>
      <c r="Q17" s="916"/>
      <c r="R17" s="919"/>
      <c r="S17" s="843"/>
    </row>
    <row r="18" spans="1:19">
      <c r="A18" s="350"/>
      <c r="B18" s="259"/>
      <c r="C18" s="351"/>
      <c r="D18" s="1131" t="s">
        <v>434</v>
      </c>
      <c r="E18" s="1020"/>
      <c r="F18" s="1020"/>
      <c r="G18" s="1020"/>
      <c r="H18" s="1020"/>
      <c r="I18" s="1020"/>
      <c r="J18" s="1020"/>
      <c r="K18" s="1020"/>
      <c r="L18" s="1020"/>
      <c r="M18" s="1020"/>
      <c r="N18" s="1020"/>
      <c r="O18" s="1021"/>
      <c r="P18" s="152"/>
      <c r="Q18" s="350"/>
      <c r="R18" s="259"/>
      <c r="S18" s="351"/>
    </row>
    <row r="19" spans="1:19" ht="210">
      <c r="A19" s="352"/>
      <c r="B19" s="173" t="s">
        <v>435</v>
      </c>
      <c r="C19" s="178" t="s">
        <v>19</v>
      </c>
      <c r="D19" s="353" t="s">
        <v>436</v>
      </c>
      <c r="E19" s="34" t="s">
        <v>132</v>
      </c>
      <c r="F19" s="354" t="s">
        <v>437</v>
      </c>
      <c r="G19" s="354" t="s">
        <v>694</v>
      </c>
      <c r="H19" s="355" t="s">
        <v>695</v>
      </c>
      <c r="I19" s="377"/>
      <c r="J19" s="35" t="s">
        <v>34</v>
      </c>
      <c r="K19" s="35" t="s">
        <v>34</v>
      </c>
      <c r="L19" s="35" t="s">
        <v>34</v>
      </c>
      <c r="M19" s="35" t="s">
        <v>440</v>
      </c>
      <c r="N19" s="35" t="s">
        <v>441</v>
      </c>
      <c r="O19" s="60" t="s">
        <v>442</v>
      </c>
      <c r="P19" s="156" t="s">
        <v>437</v>
      </c>
      <c r="Q19" s="352"/>
      <c r="R19" s="173" t="s">
        <v>435</v>
      </c>
      <c r="S19" s="178" t="s">
        <v>19</v>
      </c>
    </row>
    <row r="20" spans="1:19" ht="288.75">
      <c r="A20" s="352"/>
      <c r="B20" s="173" t="s">
        <v>435</v>
      </c>
      <c r="C20" s="178" t="s">
        <v>19</v>
      </c>
      <c r="D20" s="356"/>
      <c r="E20" s="354" t="s">
        <v>443</v>
      </c>
      <c r="F20" s="357" t="s">
        <v>444</v>
      </c>
      <c r="G20" s="357" t="s">
        <v>445</v>
      </c>
      <c r="H20" s="358"/>
      <c r="I20" s="377" t="s">
        <v>696</v>
      </c>
      <c r="J20" s="35" t="s">
        <v>34</v>
      </c>
      <c r="K20" s="35" t="s">
        <v>34</v>
      </c>
      <c r="L20" s="35" t="s">
        <v>34</v>
      </c>
      <c r="M20" s="35" t="s">
        <v>447</v>
      </c>
      <c r="N20" s="35" t="s">
        <v>448</v>
      </c>
      <c r="O20" s="60" t="s">
        <v>449</v>
      </c>
      <c r="P20" s="156" t="s">
        <v>444</v>
      </c>
      <c r="Q20" s="352"/>
      <c r="R20" s="173" t="s">
        <v>435</v>
      </c>
      <c r="S20" s="178" t="s">
        <v>19</v>
      </c>
    </row>
    <row r="21" spans="1:19" ht="210">
      <c r="A21" s="352" t="s">
        <v>45</v>
      </c>
      <c r="B21" s="173" t="s">
        <v>435</v>
      </c>
      <c r="C21" s="178" t="s">
        <v>19</v>
      </c>
      <c r="D21" s="356"/>
      <c r="E21" s="359" t="s">
        <v>450</v>
      </c>
      <c r="F21" s="354" t="s">
        <v>451</v>
      </c>
      <c r="G21" s="360" t="s">
        <v>697</v>
      </c>
      <c r="H21" s="361"/>
      <c r="I21" s="377" t="s">
        <v>698</v>
      </c>
      <c r="J21" s="35" t="s">
        <v>34</v>
      </c>
      <c r="K21" s="35" t="s">
        <v>34</v>
      </c>
      <c r="L21" s="35" t="s">
        <v>34</v>
      </c>
      <c r="M21" s="18" t="s">
        <v>454</v>
      </c>
      <c r="N21" s="18" t="s">
        <v>454</v>
      </c>
      <c r="O21" s="51" t="s">
        <v>454</v>
      </c>
      <c r="P21" s="156" t="s">
        <v>451</v>
      </c>
      <c r="Q21" s="352" t="s">
        <v>45</v>
      </c>
      <c r="R21" s="173" t="s">
        <v>435</v>
      </c>
      <c r="S21" s="178" t="s">
        <v>19</v>
      </c>
    </row>
    <row r="22" spans="1:19" ht="288.75">
      <c r="A22" s="352"/>
      <c r="B22" s="173" t="s">
        <v>435</v>
      </c>
      <c r="C22" s="178" t="s">
        <v>19</v>
      </c>
      <c r="D22" s="356"/>
      <c r="E22" s="34"/>
      <c r="F22" s="357" t="s">
        <v>444</v>
      </c>
      <c r="G22" s="360" t="s">
        <v>699</v>
      </c>
      <c r="H22" s="355" t="s">
        <v>700</v>
      </c>
      <c r="I22" s="377"/>
      <c r="J22" s="35" t="s">
        <v>34</v>
      </c>
      <c r="K22" s="35" t="s">
        <v>34</v>
      </c>
      <c r="L22" s="35" t="s">
        <v>34</v>
      </c>
      <c r="M22" s="35" t="s">
        <v>457</v>
      </c>
      <c r="N22" s="35" t="s">
        <v>457</v>
      </c>
      <c r="O22" s="60" t="s">
        <v>457</v>
      </c>
      <c r="P22" s="156" t="s">
        <v>444</v>
      </c>
      <c r="Q22" s="352"/>
      <c r="R22" s="173" t="s">
        <v>435</v>
      </c>
      <c r="S22" s="178" t="s">
        <v>19</v>
      </c>
    </row>
    <row r="23" spans="1:19">
      <c r="A23" s="352"/>
      <c r="B23" s="173"/>
      <c r="C23" s="362"/>
      <c r="D23" s="875" t="s">
        <v>458</v>
      </c>
      <c r="E23" s="876"/>
      <c r="F23" s="876"/>
      <c r="G23" s="876"/>
      <c r="H23" s="876"/>
      <c r="I23" s="876"/>
      <c r="J23" s="876"/>
      <c r="K23" s="876"/>
      <c r="L23" s="876"/>
      <c r="M23" s="876"/>
      <c r="N23" s="876"/>
      <c r="O23" s="877"/>
      <c r="P23" s="378"/>
      <c r="Q23" s="352"/>
      <c r="R23" s="173"/>
      <c r="S23" s="362"/>
    </row>
    <row r="24" spans="1:19" ht="270.75" customHeight="1">
      <c r="A24" s="352"/>
      <c r="B24" s="173" t="s">
        <v>459</v>
      </c>
      <c r="C24" s="178" t="s">
        <v>19</v>
      </c>
      <c r="D24" s="944" t="s">
        <v>460</v>
      </c>
      <c r="E24" s="34" t="s">
        <v>132</v>
      </c>
      <c r="F24" s="21" t="s">
        <v>461</v>
      </c>
      <c r="G24" s="21" t="s">
        <v>462</v>
      </c>
      <c r="H24" s="355" t="s">
        <v>701</v>
      </c>
      <c r="I24" s="377"/>
      <c r="J24" s="35" t="s">
        <v>464</v>
      </c>
      <c r="K24" s="18" t="s">
        <v>454</v>
      </c>
      <c r="L24" s="18" t="s">
        <v>454</v>
      </c>
      <c r="M24" s="18" t="s">
        <v>454</v>
      </c>
      <c r="N24" s="18" t="s">
        <v>454</v>
      </c>
      <c r="O24" s="51" t="s">
        <v>454</v>
      </c>
      <c r="P24" s="379" t="s">
        <v>465</v>
      </c>
      <c r="Q24" s="352"/>
      <c r="R24" s="173" t="s">
        <v>459</v>
      </c>
      <c r="S24" s="178" t="s">
        <v>19</v>
      </c>
    </row>
    <row r="25" spans="1:19" ht="157.5">
      <c r="A25" s="352"/>
      <c r="B25" s="173" t="s">
        <v>459</v>
      </c>
      <c r="C25" s="178" t="s">
        <v>19</v>
      </c>
      <c r="D25" s="945"/>
      <c r="E25" s="34"/>
      <c r="F25" s="21"/>
      <c r="G25" s="21" t="s">
        <v>466</v>
      </c>
      <c r="H25" s="355"/>
      <c r="I25" s="377" t="s">
        <v>702</v>
      </c>
      <c r="J25" s="35" t="s">
        <v>464</v>
      </c>
      <c r="K25" s="18" t="s">
        <v>454</v>
      </c>
      <c r="L25" s="18" t="s">
        <v>454</v>
      </c>
      <c r="M25" s="18" t="s">
        <v>454</v>
      </c>
      <c r="N25" s="18" t="s">
        <v>454</v>
      </c>
      <c r="O25" s="51" t="s">
        <v>454</v>
      </c>
      <c r="P25" s="379" t="s">
        <v>465</v>
      </c>
      <c r="Q25" s="352"/>
      <c r="R25" s="173" t="s">
        <v>459</v>
      </c>
      <c r="S25" s="178" t="s">
        <v>19</v>
      </c>
    </row>
    <row r="26" spans="1:19" ht="240" customHeight="1">
      <c r="A26" s="352"/>
      <c r="B26" s="173" t="s">
        <v>468</v>
      </c>
      <c r="C26" s="178" t="s">
        <v>19</v>
      </c>
      <c r="D26" s="944" t="s">
        <v>469</v>
      </c>
      <c r="E26" s="866" t="s">
        <v>470</v>
      </c>
      <c r="F26" s="882" t="s">
        <v>471</v>
      </c>
      <c r="G26" s="21" t="s">
        <v>703</v>
      </c>
      <c r="H26" s="363" t="s">
        <v>704</v>
      </c>
      <c r="I26" s="380"/>
      <c r="J26" s="35" t="s">
        <v>34</v>
      </c>
      <c r="K26" s="35" t="s">
        <v>34</v>
      </c>
      <c r="L26" s="35" t="s">
        <v>34</v>
      </c>
      <c r="M26" s="18">
        <v>1</v>
      </c>
      <c r="N26" s="18">
        <v>1</v>
      </c>
      <c r="O26" s="18">
        <v>1</v>
      </c>
      <c r="P26" s="379" t="s">
        <v>471</v>
      </c>
      <c r="Q26" s="352"/>
      <c r="R26" s="173" t="s">
        <v>468</v>
      </c>
      <c r="S26" s="178" t="s">
        <v>19</v>
      </c>
    </row>
    <row r="27" spans="1:19" ht="246" customHeight="1">
      <c r="A27" s="352"/>
      <c r="B27" s="173" t="s">
        <v>468</v>
      </c>
      <c r="C27" s="178" t="s">
        <v>19</v>
      </c>
      <c r="D27" s="945"/>
      <c r="E27" s="867"/>
      <c r="F27" s="884"/>
      <c r="G27" s="21" t="s">
        <v>705</v>
      </c>
      <c r="H27" s="363"/>
      <c r="I27" s="380" t="s">
        <v>706</v>
      </c>
      <c r="J27" s="35" t="s">
        <v>34</v>
      </c>
      <c r="K27" s="35" t="s">
        <v>34</v>
      </c>
      <c r="L27" s="35" t="s">
        <v>34</v>
      </c>
      <c r="M27" s="18" t="s">
        <v>476</v>
      </c>
      <c r="N27" s="18" t="s">
        <v>476</v>
      </c>
      <c r="O27" s="51" t="s">
        <v>476</v>
      </c>
      <c r="P27" s="379" t="s">
        <v>471</v>
      </c>
      <c r="Q27" s="352"/>
      <c r="R27" s="173" t="s">
        <v>468</v>
      </c>
      <c r="S27" s="178" t="s">
        <v>19</v>
      </c>
    </row>
    <row r="28" spans="1:19" ht="52.5">
      <c r="A28" s="352"/>
      <c r="B28" s="173"/>
      <c r="C28" s="362"/>
      <c r="D28" s="364" t="s">
        <v>3</v>
      </c>
      <c r="E28" s="878" t="s">
        <v>477</v>
      </c>
      <c r="F28" s="878"/>
      <c r="G28" s="878"/>
      <c r="H28" s="878"/>
      <c r="I28" s="878"/>
      <c r="J28" s="878"/>
      <c r="K28" s="878"/>
      <c r="L28" s="878"/>
      <c r="M28" s="878"/>
      <c r="N28" s="878"/>
      <c r="O28" s="879"/>
      <c r="P28" s="381"/>
      <c r="Q28" s="352"/>
      <c r="R28" s="173"/>
      <c r="S28" s="362"/>
    </row>
    <row r="29" spans="1:19">
      <c r="A29" s="352"/>
      <c r="B29" s="173"/>
      <c r="C29" s="362"/>
      <c r="D29" s="875" t="s">
        <v>478</v>
      </c>
      <c r="E29" s="876"/>
      <c r="F29" s="876"/>
      <c r="G29" s="876"/>
      <c r="H29" s="876"/>
      <c r="I29" s="876"/>
      <c r="J29" s="876"/>
      <c r="K29" s="876"/>
      <c r="L29" s="876"/>
      <c r="M29" s="876"/>
      <c r="N29" s="876"/>
      <c r="O29" s="877"/>
      <c r="P29" s="378"/>
      <c r="Q29" s="352"/>
      <c r="R29" s="173"/>
      <c r="S29" s="362"/>
    </row>
    <row r="30" spans="1:19" ht="111" customHeight="1">
      <c r="A30" s="352"/>
      <c r="B30" s="173" t="s">
        <v>479</v>
      </c>
      <c r="C30" s="178" t="s">
        <v>19</v>
      </c>
      <c r="D30" s="944" t="s">
        <v>480</v>
      </c>
      <c r="E30" s="866" t="s">
        <v>132</v>
      </c>
      <c r="F30" s="866" t="s">
        <v>461</v>
      </c>
      <c r="G30" s="866" t="s">
        <v>707</v>
      </c>
      <c r="H30" s="363" t="s">
        <v>708</v>
      </c>
      <c r="I30" s="380"/>
      <c r="J30" s="35" t="s">
        <v>34</v>
      </c>
      <c r="K30" s="35" t="s">
        <v>34</v>
      </c>
      <c r="L30" s="35" t="s">
        <v>34</v>
      </c>
      <c r="M30" s="35">
        <v>70</v>
      </c>
      <c r="N30" s="35">
        <v>75</v>
      </c>
      <c r="O30" s="35">
        <v>80</v>
      </c>
      <c r="P30" s="379" t="s">
        <v>461</v>
      </c>
      <c r="Q30" s="352"/>
      <c r="R30" s="173" t="s">
        <v>479</v>
      </c>
      <c r="S30" s="178" t="s">
        <v>19</v>
      </c>
    </row>
    <row r="31" spans="1:19" ht="132" customHeight="1">
      <c r="A31" s="352"/>
      <c r="B31" s="173" t="s">
        <v>479</v>
      </c>
      <c r="C31" s="178" t="s">
        <v>19</v>
      </c>
      <c r="D31" s="946"/>
      <c r="E31" s="868"/>
      <c r="F31" s="868"/>
      <c r="G31" s="868"/>
      <c r="H31" s="365"/>
      <c r="I31" s="380" t="s">
        <v>709</v>
      </c>
      <c r="J31" s="35" t="s">
        <v>34</v>
      </c>
      <c r="K31" s="35" t="s">
        <v>34</v>
      </c>
      <c r="L31" s="35" t="s">
        <v>34</v>
      </c>
      <c r="M31" s="35" t="s">
        <v>464</v>
      </c>
      <c r="N31" s="35" t="s">
        <v>457</v>
      </c>
      <c r="O31" s="60" t="s">
        <v>484</v>
      </c>
      <c r="P31" s="379" t="s">
        <v>461</v>
      </c>
      <c r="Q31" s="352"/>
      <c r="R31" s="173" t="s">
        <v>479</v>
      </c>
      <c r="S31" s="178" t="s">
        <v>19</v>
      </c>
    </row>
    <row r="32" spans="1:19" ht="131.25">
      <c r="A32" s="352"/>
      <c r="B32" s="173" t="s">
        <v>479</v>
      </c>
      <c r="C32" s="178" t="s">
        <v>19</v>
      </c>
      <c r="D32" s="946"/>
      <c r="E32" s="868"/>
      <c r="F32" s="868"/>
      <c r="G32" s="868"/>
      <c r="H32" s="363"/>
      <c r="I32" s="380" t="s">
        <v>710</v>
      </c>
      <c r="J32" s="35" t="s">
        <v>34</v>
      </c>
      <c r="K32" s="35" t="s">
        <v>34</v>
      </c>
      <c r="L32" s="35" t="s">
        <v>34</v>
      </c>
      <c r="M32" s="35" t="s">
        <v>449</v>
      </c>
      <c r="N32" s="35" t="s">
        <v>486</v>
      </c>
      <c r="O32" s="35" t="s">
        <v>440</v>
      </c>
      <c r="P32" s="379" t="s">
        <v>461</v>
      </c>
      <c r="Q32" s="352"/>
      <c r="R32" s="173" t="s">
        <v>479</v>
      </c>
      <c r="S32" s="178" t="s">
        <v>19</v>
      </c>
    </row>
    <row r="33" spans="1:19" ht="157.5">
      <c r="A33" s="352"/>
      <c r="B33" s="173" t="s">
        <v>479</v>
      </c>
      <c r="C33" s="178" t="s">
        <v>19</v>
      </c>
      <c r="D33" s="945"/>
      <c r="E33" s="867"/>
      <c r="F33" s="867"/>
      <c r="G33" s="867"/>
      <c r="H33" s="363"/>
      <c r="I33" s="380" t="s">
        <v>711</v>
      </c>
      <c r="J33" s="35" t="s">
        <v>34</v>
      </c>
      <c r="K33" s="35" t="s">
        <v>34</v>
      </c>
      <c r="L33" s="35" t="s">
        <v>34</v>
      </c>
      <c r="M33" s="35" t="s">
        <v>448</v>
      </c>
      <c r="N33" s="35" t="s">
        <v>488</v>
      </c>
      <c r="O33" s="60" t="s">
        <v>486</v>
      </c>
      <c r="P33" s="379" t="s">
        <v>461</v>
      </c>
      <c r="Q33" s="352"/>
      <c r="R33" s="173" t="s">
        <v>479</v>
      </c>
      <c r="S33" s="178" t="s">
        <v>19</v>
      </c>
    </row>
    <row r="34" spans="1:19">
      <c r="A34" s="352"/>
      <c r="B34" s="173"/>
      <c r="C34" s="362"/>
      <c r="D34" s="875" t="s">
        <v>489</v>
      </c>
      <c r="E34" s="876"/>
      <c r="F34" s="876"/>
      <c r="G34" s="876"/>
      <c r="H34" s="876"/>
      <c r="I34" s="876"/>
      <c r="J34" s="876"/>
      <c r="K34" s="876"/>
      <c r="L34" s="876"/>
      <c r="M34" s="876"/>
      <c r="N34" s="876"/>
      <c r="O34" s="877"/>
      <c r="P34" s="378"/>
      <c r="Q34" s="352"/>
      <c r="R34" s="173"/>
      <c r="S34" s="362"/>
    </row>
    <row r="35" spans="1:19" s="88" customFormat="1" ht="183.75">
      <c r="A35" s="352"/>
      <c r="B35" s="173" t="s">
        <v>490</v>
      </c>
      <c r="C35" s="178" t="s">
        <v>19</v>
      </c>
      <c r="D35" s="366" t="s">
        <v>491</v>
      </c>
      <c r="E35" s="367" t="s">
        <v>132</v>
      </c>
      <c r="F35" s="367" t="s">
        <v>492</v>
      </c>
      <c r="G35" s="367" t="s">
        <v>712</v>
      </c>
      <c r="H35" s="363" t="s">
        <v>713</v>
      </c>
      <c r="I35" s="380"/>
      <c r="J35" s="35" t="s">
        <v>34</v>
      </c>
      <c r="K35" s="35" t="s">
        <v>34</v>
      </c>
      <c r="L35" s="35" t="s">
        <v>34</v>
      </c>
      <c r="M35" s="18" t="s">
        <v>457</v>
      </c>
      <c r="N35" s="18" t="s">
        <v>484</v>
      </c>
      <c r="O35" s="51" t="s">
        <v>447</v>
      </c>
      <c r="P35" s="379" t="s">
        <v>492</v>
      </c>
      <c r="Q35" s="352"/>
      <c r="R35" s="173" t="s">
        <v>490</v>
      </c>
      <c r="S35" s="178" t="s">
        <v>19</v>
      </c>
    </row>
    <row r="36" spans="1:19" ht="52.5">
      <c r="A36" s="352"/>
      <c r="B36" s="173"/>
      <c r="C36" s="362"/>
      <c r="D36" s="364" t="s">
        <v>3</v>
      </c>
      <c r="E36" s="878" t="s">
        <v>495</v>
      </c>
      <c r="F36" s="878"/>
      <c r="G36" s="878"/>
      <c r="H36" s="878"/>
      <c r="I36" s="878"/>
      <c r="J36" s="878"/>
      <c r="K36" s="878"/>
      <c r="L36" s="878"/>
      <c r="M36" s="878"/>
      <c r="N36" s="878"/>
      <c r="O36" s="879"/>
      <c r="P36" s="381"/>
      <c r="Q36" s="352"/>
      <c r="R36" s="173"/>
      <c r="S36" s="362"/>
    </row>
    <row r="37" spans="1:19">
      <c r="A37" s="352"/>
      <c r="B37" s="173"/>
      <c r="C37" s="362"/>
      <c r="D37" s="875" t="s">
        <v>496</v>
      </c>
      <c r="E37" s="876"/>
      <c r="F37" s="876"/>
      <c r="G37" s="876"/>
      <c r="H37" s="876"/>
      <c r="I37" s="876"/>
      <c r="J37" s="876"/>
      <c r="K37" s="876"/>
      <c r="L37" s="876"/>
      <c r="M37" s="876"/>
      <c r="N37" s="876"/>
      <c r="O37" s="877"/>
      <c r="P37" s="378"/>
      <c r="Q37" s="352"/>
      <c r="R37" s="173"/>
      <c r="S37" s="362"/>
    </row>
    <row r="38" spans="1:19" s="88" customFormat="1" ht="262.5">
      <c r="A38" s="368"/>
      <c r="B38" s="369" t="s">
        <v>497</v>
      </c>
      <c r="C38" s="178" t="s">
        <v>19</v>
      </c>
      <c r="D38" s="366" t="s">
        <v>498</v>
      </c>
      <c r="E38" s="367" t="s">
        <v>132</v>
      </c>
      <c r="F38" s="367" t="s">
        <v>461</v>
      </c>
      <c r="G38" s="367" t="s">
        <v>714</v>
      </c>
      <c r="H38" s="363"/>
      <c r="I38" s="380" t="s">
        <v>715</v>
      </c>
      <c r="J38" s="35" t="s">
        <v>34</v>
      </c>
      <c r="K38" s="35" t="s">
        <v>34</v>
      </c>
      <c r="L38" s="35" t="s">
        <v>34</v>
      </c>
      <c r="M38" s="18">
        <v>50</v>
      </c>
      <c r="N38" s="18">
        <v>70</v>
      </c>
      <c r="O38" s="51">
        <v>80</v>
      </c>
      <c r="P38" s="379" t="s">
        <v>501</v>
      </c>
      <c r="Q38" s="368"/>
      <c r="R38" s="369" t="s">
        <v>497</v>
      </c>
      <c r="S38" s="178" t="s">
        <v>19</v>
      </c>
    </row>
    <row r="39" spans="1:19" s="88" customFormat="1" ht="393.75">
      <c r="A39" s="370"/>
      <c r="B39" s="371" t="s">
        <v>497</v>
      </c>
      <c r="C39" s="184" t="s">
        <v>19</v>
      </c>
      <c r="D39" s="372" t="s">
        <v>502</v>
      </c>
      <c r="E39" s="373" t="s">
        <v>132</v>
      </c>
      <c r="F39" s="373" t="s">
        <v>503</v>
      </c>
      <c r="G39" s="373" t="s">
        <v>716</v>
      </c>
      <c r="H39" s="374"/>
      <c r="I39" s="382" t="s">
        <v>717</v>
      </c>
      <c r="J39" s="383" t="s">
        <v>34</v>
      </c>
      <c r="K39" s="383" t="s">
        <v>34</v>
      </c>
      <c r="L39" s="383" t="s">
        <v>34</v>
      </c>
      <c r="M39" s="384">
        <v>20</v>
      </c>
      <c r="N39" s="384">
        <v>50</v>
      </c>
      <c r="O39" s="385">
        <v>100</v>
      </c>
      <c r="P39" s="386" t="s">
        <v>501</v>
      </c>
      <c r="Q39" s="370"/>
      <c r="R39" s="371" t="s">
        <v>497</v>
      </c>
      <c r="S39" s="184" t="s">
        <v>19</v>
      </c>
    </row>
    <row r="41" spans="1:19" s="89" customFormat="1">
      <c r="A41" s="347"/>
      <c r="B41" s="347"/>
      <c r="C41" s="347"/>
      <c r="D41" s="375">
        <v>7</v>
      </c>
      <c r="E41" s="376" t="s">
        <v>600</v>
      </c>
      <c r="F41" s="141"/>
      <c r="G41" s="142" t="s">
        <v>564</v>
      </c>
      <c r="H41" s="143">
        <v>6</v>
      </c>
      <c r="I41" s="142"/>
      <c r="J41" s="144"/>
      <c r="K41" s="144"/>
      <c r="L41" s="144"/>
      <c r="M41" s="144"/>
      <c r="N41" s="144"/>
      <c r="O41" s="144"/>
      <c r="P41" s="144"/>
      <c r="Q41" s="347"/>
      <c r="R41" s="347"/>
      <c r="S41" s="347"/>
    </row>
    <row r="42" spans="1:19">
      <c r="G42" s="145" t="s">
        <v>565</v>
      </c>
      <c r="H42" s="146">
        <v>9</v>
      </c>
      <c r="I42" s="145"/>
    </row>
    <row r="43" spans="1:19">
      <c r="G43" s="73" t="s">
        <v>566</v>
      </c>
      <c r="H43" s="147">
        <f>H41+H42</f>
        <v>15</v>
      </c>
      <c r="I43" s="73"/>
    </row>
  </sheetData>
  <mergeCells count="43">
    <mergeCell ref="D1:S1"/>
    <mergeCell ref="E2:S2"/>
    <mergeCell ref="E3:S3"/>
    <mergeCell ref="E4:S4"/>
    <mergeCell ref="E6:S6"/>
    <mergeCell ref="E7:S7"/>
    <mergeCell ref="E8:S8"/>
    <mergeCell ref="E9:S9"/>
    <mergeCell ref="E11:S11"/>
    <mergeCell ref="E15:P15"/>
    <mergeCell ref="D37:O37"/>
    <mergeCell ref="A16:A17"/>
    <mergeCell ref="B16:B17"/>
    <mergeCell ref="C16:C17"/>
    <mergeCell ref="E16:E17"/>
    <mergeCell ref="E26:E27"/>
    <mergeCell ref="E30:E33"/>
    <mergeCell ref="F16:F17"/>
    <mergeCell ref="F26:F27"/>
    <mergeCell ref="F30:F33"/>
    <mergeCell ref="G16:G17"/>
    <mergeCell ref="G30:G33"/>
    <mergeCell ref="H16:H17"/>
    <mergeCell ref="I16:I17"/>
    <mergeCell ref="J16:O16"/>
    <mergeCell ref="D18:O18"/>
    <mergeCell ref="D30:D33"/>
    <mergeCell ref="D34:O34"/>
    <mergeCell ref="E36:O36"/>
    <mergeCell ref="P16:P17"/>
    <mergeCell ref="Q16:Q17"/>
    <mergeCell ref="D23:O23"/>
    <mergeCell ref="E28:O28"/>
    <mergeCell ref="D29:O29"/>
    <mergeCell ref="D24:D25"/>
    <mergeCell ref="D26:D27"/>
    <mergeCell ref="A13:C15"/>
    <mergeCell ref="E13:P14"/>
    <mergeCell ref="Q13:S15"/>
    <mergeCell ref="D13:D14"/>
    <mergeCell ref="D16:D17"/>
    <mergeCell ref="R16:R17"/>
    <mergeCell ref="S16:S17"/>
  </mergeCells>
  <pageMargins left="0.7" right="0.7" top="0.75" bottom="0.75" header="0.3" footer="0.3"/>
  <pageSetup paperSize="9" scale="44" fitToHeight="0" orientation="landscape" r:id="rId1"/>
  <rowBreaks count="1" manualBreakCount="1">
    <brk id="33"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pageSetUpPr fitToPage="1"/>
  </sheetPr>
  <dimension ref="A2:O159"/>
  <sheetViews>
    <sheetView view="pageBreakPreview" zoomScale="60" zoomScaleNormal="60" workbookViewId="0">
      <selection activeCell="B8" sqref="B8:B14"/>
    </sheetView>
  </sheetViews>
  <sheetFormatPr defaultColWidth="9.125" defaultRowHeight="26.25"/>
  <cols>
    <col min="1" max="1" width="32.5" style="1" customWidth="1"/>
    <col min="2" max="2" width="27.25" style="1" customWidth="1"/>
    <col min="3" max="3" width="33.375" style="1" customWidth="1"/>
    <col min="4" max="4" width="35" style="1" customWidth="1"/>
    <col min="5" max="5" width="54.75" style="1" customWidth="1"/>
    <col min="6" max="11" width="14.375" style="1" customWidth="1"/>
    <col min="12" max="12" width="29.125" style="1" customWidth="1"/>
    <col min="13" max="14" width="13.375" style="83" customWidth="1"/>
    <col min="15" max="15" width="13.375" style="1" customWidth="1"/>
    <col min="16" max="16384" width="9.125" style="1"/>
  </cols>
  <sheetData>
    <row r="2" spans="1:15" ht="26.25" customHeight="1">
      <c r="A2" s="1186" t="s">
        <v>1</v>
      </c>
      <c r="B2" s="1140" t="s">
        <v>2</v>
      </c>
      <c r="C2" s="1141"/>
      <c r="D2" s="1141"/>
      <c r="E2" s="1141"/>
      <c r="F2" s="1141"/>
      <c r="G2" s="1141"/>
      <c r="H2" s="1141"/>
      <c r="I2" s="1141"/>
      <c r="J2" s="1141"/>
      <c r="K2" s="1141"/>
      <c r="L2" s="1142"/>
      <c r="M2" s="817" t="s">
        <v>718</v>
      </c>
      <c r="N2" s="818"/>
      <c r="O2" s="819"/>
    </row>
    <row r="3" spans="1:15">
      <c r="A3" s="1187"/>
      <c r="B3" s="1143"/>
      <c r="C3" s="992"/>
      <c r="D3" s="992"/>
      <c r="E3" s="992"/>
      <c r="F3" s="992"/>
      <c r="G3" s="992"/>
      <c r="H3" s="992"/>
      <c r="I3" s="992"/>
      <c r="J3" s="992"/>
      <c r="K3" s="992"/>
      <c r="L3" s="1144"/>
      <c r="M3" s="820"/>
      <c r="N3" s="809"/>
      <c r="O3" s="821"/>
    </row>
    <row r="4" spans="1:15" ht="25.5" customHeight="1">
      <c r="A4" s="185" t="s">
        <v>3</v>
      </c>
      <c r="B4" s="1004" t="s">
        <v>4</v>
      </c>
      <c r="C4" s="1004"/>
      <c r="D4" s="1004"/>
      <c r="E4" s="1004"/>
      <c r="F4" s="1004"/>
      <c r="G4" s="1004"/>
      <c r="H4" s="1004"/>
      <c r="I4" s="1004"/>
      <c r="J4" s="1004"/>
      <c r="K4" s="1005"/>
      <c r="L4" s="202"/>
      <c r="M4" s="820"/>
      <c r="N4" s="809"/>
      <c r="O4" s="821"/>
    </row>
    <row r="5" spans="1:15" ht="25.5" customHeight="1">
      <c r="A5" s="1187" t="s">
        <v>8</v>
      </c>
      <c r="B5" s="995" t="s">
        <v>9</v>
      </c>
      <c r="C5" s="995" t="s">
        <v>166</v>
      </c>
      <c r="D5" s="186" t="s">
        <v>11</v>
      </c>
      <c r="E5" s="995" t="s">
        <v>719</v>
      </c>
      <c r="F5" s="995" t="s">
        <v>14</v>
      </c>
      <c r="G5" s="995"/>
      <c r="H5" s="995"/>
      <c r="I5" s="995"/>
      <c r="J5" s="995"/>
      <c r="K5" s="1206"/>
      <c r="L5" s="999" t="s">
        <v>15</v>
      </c>
      <c r="M5" s="851" t="s">
        <v>5</v>
      </c>
      <c r="N5" s="920" t="s">
        <v>6</v>
      </c>
      <c r="O5" s="844" t="s">
        <v>7</v>
      </c>
    </row>
    <row r="6" spans="1:15">
      <c r="A6" s="1187"/>
      <c r="B6" s="995"/>
      <c r="C6" s="995"/>
      <c r="D6" s="186"/>
      <c r="E6" s="995"/>
      <c r="F6" s="186">
        <v>65</v>
      </c>
      <c r="G6" s="186">
        <v>66</v>
      </c>
      <c r="H6" s="186">
        <v>67</v>
      </c>
      <c r="I6" s="186">
        <v>68</v>
      </c>
      <c r="J6" s="186">
        <v>69</v>
      </c>
      <c r="K6" s="203">
        <v>70</v>
      </c>
      <c r="L6" s="1000"/>
      <c r="M6" s="851"/>
      <c r="N6" s="920"/>
      <c r="O6" s="844"/>
    </row>
    <row r="7" spans="1:15" ht="25.5" customHeight="1">
      <c r="A7" s="1001" t="s">
        <v>16</v>
      </c>
      <c r="B7" s="1002"/>
      <c r="C7" s="1002"/>
      <c r="D7" s="1002"/>
      <c r="E7" s="1002"/>
      <c r="F7" s="1002"/>
      <c r="G7" s="1002"/>
      <c r="H7" s="1002"/>
      <c r="I7" s="1002"/>
      <c r="J7" s="1002"/>
      <c r="K7" s="1003"/>
      <c r="L7" s="204"/>
      <c r="M7" s="205">
        <f>8+5+1+3</f>
        <v>17</v>
      </c>
      <c r="N7" s="206"/>
      <c r="O7" s="207"/>
    </row>
    <row r="8" spans="1:15" ht="209.25" customHeight="1">
      <c r="A8" s="891" t="s">
        <v>720</v>
      </c>
      <c r="B8" s="994" t="s">
        <v>721</v>
      </c>
      <c r="C8" s="23" t="s">
        <v>722</v>
      </c>
      <c r="D8" s="885" t="s">
        <v>723</v>
      </c>
      <c r="E8" s="187" t="s">
        <v>724</v>
      </c>
      <c r="F8" s="18">
        <v>3</v>
      </c>
      <c r="G8" s="18">
        <v>6</v>
      </c>
      <c r="H8" s="18">
        <v>6</v>
      </c>
      <c r="I8" s="18">
        <v>6</v>
      </c>
      <c r="J8" s="18">
        <v>6</v>
      </c>
      <c r="K8" s="51">
        <v>7</v>
      </c>
      <c r="L8" s="208" t="s">
        <v>24</v>
      </c>
      <c r="M8" s="209" t="s">
        <v>17</v>
      </c>
      <c r="N8" s="210" t="s">
        <v>18</v>
      </c>
      <c r="O8" s="211" t="s">
        <v>19</v>
      </c>
    </row>
    <row r="9" spans="1:15" ht="138.75" customHeight="1">
      <c r="A9" s="892"/>
      <c r="B9" s="994"/>
      <c r="C9" s="23" t="s">
        <v>725</v>
      </c>
      <c r="D9" s="885"/>
      <c r="E9" s="187" t="s">
        <v>726</v>
      </c>
      <c r="F9" s="18">
        <v>3</v>
      </c>
      <c r="G9" s="18">
        <v>0</v>
      </c>
      <c r="H9" s="18">
        <v>0</v>
      </c>
      <c r="I9" s="18">
        <v>0</v>
      </c>
      <c r="J9" s="18">
        <v>1</v>
      </c>
      <c r="K9" s="51">
        <v>0</v>
      </c>
      <c r="L9" s="208" t="s">
        <v>27</v>
      </c>
      <c r="M9" s="212" t="s">
        <v>25</v>
      </c>
      <c r="N9" s="210" t="s">
        <v>18</v>
      </c>
      <c r="O9" s="211" t="s">
        <v>19</v>
      </c>
    </row>
    <row r="10" spans="1:15" ht="93.95" customHeight="1">
      <c r="A10" s="892"/>
      <c r="B10" s="994"/>
      <c r="C10" s="23" t="s">
        <v>727</v>
      </c>
      <c r="D10" s="885"/>
      <c r="E10" s="187" t="s">
        <v>728</v>
      </c>
      <c r="F10" s="18" t="s">
        <v>34</v>
      </c>
      <c r="G10" s="18" t="s">
        <v>34</v>
      </c>
      <c r="H10" s="18" t="s">
        <v>34</v>
      </c>
      <c r="I10" s="18">
        <v>4</v>
      </c>
      <c r="J10" s="18">
        <v>4</v>
      </c>
      <c r="K10" s="51">
        <v>4</v>
      </c>
      <c r="L10" s="208" t="s">
        <v>31</v>
      </c>
      <c r="M10" s="209" t="s">
        <v>729</v>
      </c>
      <c r="N10" s="210" t="s">
        <v>18</v>
      </c>
      <c r="O10" s="211" t="s">
        <v>19</v>
      </c>
    </row>
    <row r="11" spans="1:15" ht="158.1" customHeight="1">
      <c r="A11" s="892"/>
      <c r="B11" s="994"/>
      <c r="C11" s="21" t="s">
        <v>730</v>
      </c>
      <c r="D11" s="885"/>
      <c r="E11" s="187" t="s">
        <v>731</v>
      </c>
      <c r="F11" s="18" t="s">
        <v>34</v>
      </c>
      <c r="G11" s="18" t="s">
        <v>34</v>
      </c>
      <c r="H11" s="18" t="s">
        <v>34</v>
      </c>
      <c r="I11" s="18">
        <v>1</v>
      </c>
      <c r="J11" s="18">
        <v>2</v>
      </c>
      <c r="K11" s="51">
        <v>3</v>
      </c>
      <c r="L11" s="208" t="s">
        <v>27</v>
      </c>
      <c r="M11" s="209" t="s">
        <v>732</v>
      </c>
      <c r="N11" s="210" t="s">
        <v>18</v>
      </c>
      <c r="O11" s="211" t="s">
        <v>19</v>
      </c>
    </row>
    <row r="12" spans="1:15" ht="146.44999999999999" customHeight="1">
      <c r="A12" s="892"/>
      <c r="B12" s="994"/>
      <c r="C12" s="23" t="s">
        <v>733</v>
      </c>
      <c r="D12" s="885"/>
      <c r="E12" s="187" t="s">
        <v>734</v>
      </c>
      <c r="F12" s="18" t="s">
        <v>34</v>
      </c>
      <c r="G12" s="18" t="s">
        <v>34</v>
      </c>
      <c r="H12" s="18" t="s">
        <v>34</v>
      </c>
      <c r="I12" s="18" t="s">
        <v>34</v>
      </c>
      <c r="J12" s="18">
        <v>1</v>
      </c>
      <c r="K12" s="51">
        <v>1</v>
      </c>
      <c r="L12" s="208" t="s">
        <v>31</v>
      </c>
      <c r="M12" s="209" t="s">
        <v>735</v>
      </c>
      <c r="N12" s="210" t="s">
        <v>18</v>
      </c>
      <c r="O12" s="211" t="s">
        <v>19</v>
      </c>
    </row>
    <row r="13" spans="1:15" ht="109.5" customHeight="1">
      <c r="A13" s="892"/>
      <c r="B13" s="994"/>
      <c r="C13" s="23" t="s">
        <v>736</v>
      </c>
      <c r="D13" s="885"/>
      <c r="E13" s="187"/>
      <c r="F13" s="18"/>
      <c r="G13" s="18"/>
      <c r="H13" s="18"/>
      <c r="I13" s="18"/>
      <c r="J13" s="18"/>
      <c r="K13" s="51"/>
      <c r="L13" s="208"/>
      <c r="M13" s="212"/>
      <c r="N13" s="210"/>
      <c r="O13" s="211"/>
    </row>
    <row r="14" spans="1:15" ht="89.1" customHeight="1">
      <c r="A14" s="893"/>
      <c r="B14" s="994"/>
      <c r="C14" s="23" t="s">
        <v>737</v>
      </c>
      <c r="D14" s="885"/>
      <c r="E14" s="188"/>
      <c r="F14" s="18"/>
      <c r="G14" s="18"/>
      <c r="H14" s="18"/>
      <c r="I14" s="18"/>
      <c r="J14" s="18"/>
      <c r="K14" s="51"/>
      <c r="L14" s="208"/>
      <c r="M14" s="212"/>
      <c r="N14" s="210"/>
      <c r="O14" s="211"/>
    </row>
    <row r="15" spans="1:15" ht="88.5" customHeight="1">
      <c r="A15" s="1188" t="s">
        <v>738</v>
      </c>
      <c r="B15" s="882" t="s">
        <v>739</v>
      </c>
      <c r="C15" s="188" t="s">
        <v>740</v>
      </c>
      <c r="D15" s="23" t="s">
        <v>741</v>
      </c>
      <c r="E15" s="21" t="s">
        <v>742</v>
      </c>
      <c r="F15" s="18">
        <v>1</v>
      </c>
      <c r="G15" s="18">
        <v>1</v>
      </c>
      <c r="H15" s="18">
        <v>1</v>
      </c>
      <c r="I15" s="18">
        <v>1</v>
      </c>
      <c r="J15" s="18">
        <v>1</v>
      </c>
      <c r="K15" s="51">
        <v>1</v>
      </c>
      <c r="L15" s="208" t="s">
        <v>743</v>
      </c>
      <c r="M15" s="213" t="s">
        <v>744</v>
      </c>
      <c r="N15" s="210" t="s">
        <v>54</v>
      </c>
      <c r="O15" s="211" t="s">
        <v>19</v>
      </c>
    </row>
    <row r="16" spans="1:15" ht="138" customHeight="1">
      <c r="A16" s="1189"/>
      <c r="B16" s="883"/>
      <c r="C16" s="21" t="s">
        <v>745</v>
      </c>
      <c r="D16" s="23" t="s">
        <v>746</v>
      </c>
      <c r="E16" s="21" t="s">
        <v>747</v>
      </c>
      <c r="F16" s="18" t="s">
        <v>34</v>
      </c>
      <c r="G16" s="18" t="s">
        <v>64</v>
      </c>
      <c r="H16" s="18">
        <v>100</v>
      </c>
      <c r="I16" s="18">
        <v>100</v>
      </c>
      <c r="J16" s="18">
        <v>100</v>
      </c>
      <c r="K16" s="51">
        <v>100</v>
      </c>
      <c r="L16" s="208" t="s">
        <v>65</v>
      </c>
      <c r="M16" s="209"/>
      <c r="N16" s="210" t="s">
        <v>46</v>
      </c>
      <c r="O16" s="211" t="s">
        <v>19</v>
      </c>
    </row>
    <row r="17" spans="1:15" ht="276.60000000000002" customHeight="1">
      <c r="A17" s="1189"/>
      <c r="B17" s="883"/>
      <c r="C17" s="21" t="s">
        <v>748</v>
      </c>
      <c r="D17" s="21" t="s">
        <v>749</v>
      </c>
      <c r="E17" s="188" t="s">
        <v>750</v>
      </c>
      <c r="F17" s="18" t="s">
        <v>34</v>
      </c>
      <c r="G17" s="18" t="s">
        <v>64</v>
      </c>
      <c r="H17" s="18">
        <v>100</v>
      </c>
      <c r="I17" s="18">
        <v>100</v>
      </c>
      <c r="J17" s="18">
        <v>100</v>
      </c>
      <c r="K17" s="51">
        <v>100</v>
      </c>
      <c r="L17" s="208" t="s">
        <v>65</v>
      </c>
      <c r="M17" s="214" t="s">
        <v>744</v>
      </c>
      <c r="N17" s="210" t="s">
        <v>46</v>
      </c>
      <c r="O17" s="211" t="s">
        <v>19</v>
      </c>
    </row>
    <row r="18" spans="1:15" ht="96.6" customHeight="1">
      <c r="A18" s="1190"/>
      <c r="B18" s="884"/>
      <c r="C18" s="21"/>
      <c r="D18" s="21"/>
      <c r="E18" s="188" t="s">
        <v>751</v>
      </c>
      <c r="F18" s="18" t="s">
        <v>34</v>
      </c>
      <c r="G18" s="18" t="s">
        <v>34</v>
      </c>
      <c r="H18" s="18" t="s">
        <v>34</v>
      </c>
      <c r="I18" s="18">
        <v>85</v>
      </c>
      <c r="J18" s="18">
        <v>90</v>
      </c>
      <c r="K18" s="51">
        <v>90</v>
      </c>
      <c r="L18" s="208" t="s">
        <v>752</v>
      </c>
      <c r="M18" s="209" t="s">
        <v>753</v>
      </c>
      <c r="N18" s="210" t="s">
        <v>46</v>
      </c>
      <c r="O18" s="211" t="s">
        <v>19</v>
      </c>
    </row>
    <row r="19" spans="1:15" ht="215.1" customHeight="1">
      <c r="A19" s="1011" t="s">
        <v>754</v>
      </c>
      <c r="B19" s="885" t="s">
        <v>739</v>
      </c>
      <c r="C19" s="885" t="s">
        <v>755</v>
      </c>
      <c r="D19" s="994" t="s">
        <v>756</v>
      </c>
      <c r="E19" s="21" t="s">
        <v>757</v>
      </c>
      <c r="F19" s="18" t="s">
        <v>34</v>
      </c>
      <c r="G19" s="18" t="s">
        <v>77</v>
      </c>
      <c r="H19" s="18" t="s">
        <v>78</v>
      </c>
      <c r="I19" s="18" t="s">
        <v>79</v>
      </c>
      <c r="J19" s="18" t="s">
        <v>80</v>
      </c>
      <c r="K19" s="51" t="s">
        <v>81</v>
      </c>
      <c r="L19" s="208" t="s">
        <v>70</v>
      </c>
      <c r="M19" s="212"/>
      <c r="N19" s="210" t="s">
        <v>71</v>
      </c>
      <c r="O19" s="211" t="s">
        <v>19</v>
      </c>
    </row>
    <row r="20" spans="1:15" ht="87.75" customHeight="1">
      <c r="A20" s="1011"/>
      <c r="B20" s="885"/>
      <c r="C20" s="885"/>
      <c r="D20" s="994"/>
      <c r="E20" s="21" t="s">
        <v>758</v>
      </c>
      <c r="F20" s="18" t="s">
        <v>34</v>
      </c>
      <c r="G20" s="18" t="s">
        <v>34</v>
      </c>
      <c r="H20" s="18">
        <v>2</v>
      </c>
      <c r="I20" s="18">
        <v>2</v>
      </c>
      <c r="J20" s="18">
        <v>3</v>
      </c>
      <c r="K20" s="51">
        <v>3</v>
      </c>
      <c r="L20" s="208" t="s">
        <v>70</v>
      </c>
      <c r="M20" s="212"/>
      <c r="N20" s="210" t="s">
        <v>71</v>
      </c>
      <c r="O20" s="211" t="s">
        <v>19</v>
      </c>
    </row>
    <row r="21" spans="1:15" ht="326.25" customHeight="1">
      <c r="A21" s="24" t="s">
        <v>759</v>
      </c>
      <c r="B21" s="21" t="s">
        <v>760</v>
      </c>
      <c r="C21" s="21" t="s">
        <v>761</v>
      </c>
      <c r="D21" s="23" t="s">
        <v>762</v>
      </c>
      <c r="E21" s="21" t="s">
        <v>763</v>
      </c>
      <c r="F21" s="18" t="s">
        <v>34</v>
      </c>
      <c r="G21" s="18">
        <v>1</v>
      </c>
      <c r="H21" s="18">
        <v>2</v>
      </c>
      <c r="I21" s="18">
        <v>2</v>
      </c>
      <c r="J21" s="18">
        <v>3</v>
      </c>
      <c r="K21" s="51">
        <v>3</v>
      </c>
      <c r="L21" s="208" t="s">
        <v>70</v>
      </c>
      <c r="M21" s="205"/>
      <c r="N21" s="210" t="s">
        <v>71</v>
      </c>
      <c r="O21" s="211" t="s">
        <v>19</v>
      </c>
    </row>
    <row r="22" spans="1:15" ht="36.950000000000003" customHeight="1">
      <c r="A22" s="1001" t="s">
        <v>88</v>
      </c>
      <c r="B22" s="1002"/>
      <c r="C22" s="1002"/>
      <c r="D22" s="1002"/>
      <c r="E22" s="1002"/>
      <c r="F22" s="1002"/>
      <c r="G22" s="1002"/>
      <c r="H22" s="1002"/>
      <c r="I22" s="1002"/>
      <c r="J22" s="1002"/>
      <c r="K22" s="1003"/>
      <c r="L22" s="204"/>
      <c r="M22" s="205"/>
      <c r="N22" s="206"/>
      <c r="O22" s="207"/>
    </row>
    <row r="23" spans="1:15" ht="135" customHeight="1">
      <c r="A23" s="894" t="s">
        <v>764</v>
      </c>
      <c r="B23" s="1207" t="s">
        <v>765</v>
      </c>
      <c r="C23" s="188" t="s">
        <v>766</v>
      </c>
      <c r="D23" s="23" t="s">
        <v>93</v>
      </c>
      <c r="E23" s="188" t="s">
        <v>767</v>
      </c>
      <c r="F23" s="18" t="s">
        <v>34</v>
      </c>
      <c r="G23" s="18" t="s">
        <v>34</v>
      </c>
      <c r="H23" s="18">
        <v>80</v>
      </c>
      <c r="I23" s="18">
        <v>80</v>
      </c>
      <c r="J23" s="18">
        <v>90</v>
      </c>
      <c r="K23" s="51">
        <v>90</v>
      </c>
      <c r="L23" s="208" t="s">
        <v>768</v>
      </c>
      <c r="M23" s="214" t="s">
        <v>744</v>
      </c>
      <c r="N23" s="210" t="s">
        <v>89</v>
      </c>
      <c r="O23" s="211" t="s">
        <v>19</v>
      </c>
    </row>
    <row r="24" spans="1:15" ht="105" customHeight="1">
      <c r="A24" s="894"/>
      <c r="B24" s="1207"/>
      <c r="C24" s="23" t="s">
        <v>769</v>
      </c>
      <c r="D24" s="23" t="s">
        <v>97</v>
      </c>
      <c r="E24" s="188" t="s">
        <v>770</v>
      </c>
      <c r="F24" s="18" t="s">
        <v>34</v>
      </c>
      <c r="G24" s="18" t="s">
        <v>34</v>
      </c>
      <c r="H24" s="18">
        <v>80</v>
      </c>
      <c r="I24" s="18">
        <v>80</v>
      </c>
      <c r="J24" s="18">
        <v>90</v>
      </c>
      <c r="K24" s="51">
        <v>90</v>
      </c>
      <c r="L24" s="208" t="s">
        <v>96</v>
      </c>
      <c r="M24" s="214" t="s">
        <v>744</v>
      </c>
      <c r="N24" s="210" t="s">
        <v>89</v>
      </c>
      <c r="O24" s="211" t="s">
        <v>19</v>
      </c>
    </row>
    <row r="25" spans="1:15" ht="75" customHeight="1">
      <c r="A25" s="894"/>
      <c r="B25" s="1207"/>
      <c r="C25" s="1045" t="s">
        <v>771</v>
      </c>
      <c r="D25" s="1045" t="s">
        <v>101</v>
      </c>
      <c r="E25" s="188" t="s">
        <v>772</v>
      </c>
      <c r="F25" s="18" t="s">
        <v>34</v>
      </c>
      <c r="G25" s="18" t="s">
        <v>34</v>
      </c>
      <c r="H25" s="18">
        <v>80</v>
      </c>
      <c r="I25" s="18">
        <v>80</v>
      </c>
      <c r="J25" s="18">
        <v>90</v>
      </c>
      <c r="K25" s="51">
        <v>90</v>
      </c>
      <c r="L25" s="208" t="s">
        <v>100</v>
      </c>
      <c r="M25" s="214" t="s">
        <v>744</v>
      </c>
      <c r="N25" s="210" t="s">
        <v>89</v>
      </c>
      <c r="O25" s="211" t="s">
        <v>19</v>
      </c>
    </row>
    <row r="26" spans="1:15" ht="51.95" customHeight="1">
      <c r="A26" s="894"/>
      <c r="B26" s="1207"/>
      <c r="C26" s="1158"/>
      <c r="D26" s="1158"/>
      <c r="E26" s="188" t="s">
        <v>773</v>
      </c>
      <c r="F26" s="18" t="s">
        <v>34</v>
      </c>
      <c r="G26" s="18" t="s">
        <v>34</v>
      </c>
      <c r="H26" s="18">
        <v>90</v>
      </c>
      <c r="I26" s="18">
        <v>92</v>
      </c>
      <c r="J26" s="18">
        <v>94</v>
      </c>
      <c r="K26" s="51">
        <v>96</v>
      </c>
      <c r="L26" s="208" t="s">
        <v>100</v>
      </c>
      <c r="M26" s="214" t="s">
        <v>744</v>
      </c>
      <c r="N26" s="210" t="s">
        <v>89</v>
      </c>
      <c r="O26" s="211" t="s">
        <v>19</v>
      </c>
    </row>
    <row r="27" spans="1:15" ht="52.5">
      <c r="A27" s="894"/>
      <c r="B27" s="1207"/>
      <c r="C27" s="1158"/>
      <c r="D27" s="1158"/>
      <c r="E27" s="188" t="s">
        <v>774</v>
      </c>
      <c r="F27" s="18" t="s">
        <v>34</v>
      </c>
      <c r="G27" s="18" t="s">
        <v>34</v>
      </c>
      <c r="H27" s="18">
        <v>90</v>
      </c>
      <c r="I27" s="18">
        <v>92</v>
      </c>
      <c r="J27" s="18">
        <v>94</v>
      </c>
      <c r="K27" s="51">
        <v>96</v>
      </c>
      <c r="L27" s="208" t="s">
        <v>100</v>
      </c>
      <c r="M27" s="214" t="s">
        <v>744</v>
      </c>
      <c r="N27" s="210" t="s">
        <v>89</v>
      </c>
      <c r="O27" s="211" t="s">
        <v>19</v>
      </c>
    </row>
    <row r="28" spans="1:15" ht="78.75">
      <c r="A28" s="894"/>
      <c r="B28" s="1207"/>
      <c r="C28" s="1046"/>
      <c r="D28" s="1046"/>
      <c r="E28" s="188" t="s">
        <v>775</v>
      </c>
      <c r="F28" s="18" t="s">
        <v>34</v>
      </c>
      <c r="G28" s="18" t="s">
        <v>34</v>
      </c>
      <c r="H28" s="18">
        <v>90</v>
      </c>
      <c r="I28" s="18">
        <v>92</v>
      </c>
      <c r="J28" s="18">
        <v>94</v>
      </c>
      <c r="K28" s="51">
        <v>96</v>
      </c>
      <c r="L28" s="208" t="s">
        <v>100</v>
      </c>
      <c r="M28" s="214" t="s">
        <v>744</v>
      </c>
      <c r="N28" s="210" t="s">
        <v>89</v>
      </c>
      <c r="O28" s="211" t="s">
        <v>19</v>
      </c>
    </row>
    <row r="29" spans="1:15" ht="85.5" customHeight="1">
      <c r="A29" s="894"/>
      <c r="B29" s="1207"/>
      <c r="C29" s="188" t="s">
        <v>776</v>
      </c>
      <c r="D29" s="21" t="s">
        <v>777</v>
      </c>
      <c r="E29" s="188" t="s">
        <v>778</v>
      </c>
      <c r="F29" s="18">
        <v>100</v>
      </c>
      <c r="G29" s="18">
        <v>100</v>
      </c>
      <c r="H29" s="18">
        <v>100</v>
      </c>
      <c r="I29" s="18">
        <v>100</v>
      </c>
      <c r="J29" s="18">
        <v>100</v>
      </c>
      <c r="K29" s="51">
        <v>100</v>
      </c>
      <c r="L29" s="208" t="s">
        <v>779</v>
      </c>
      <c r="M29" s="214" t="s">
        <v>744</v>
      </c>
      <c r="N29" s="210" t="s">
        <v>89</v>
      </c>
      <c r="O29" s="211" t="s">
        <v>19</v>
      </c>
    </row>
    <row r="30" spans="1:15" ht="131.25">
      <c r="A30" s="1191" t="s">
        <v>780</v>
      </c>
      <c r="B30" s="882" t="s">
        <v>781</v>
      </c>
      <c r="C30" s="188" t="s">
        <v>782</v>
      </c>
      <c r="D30" s="882" t="s">
        <v>783</v>
      </c>
      <c r="E30" s="23" t="s">
        <v>784</v>
      </c>
      <c r="F30" s="18" t="s">
        <v>34</v>
      </c>
      <c r="G30" s="18" t="s">
        <v>34</v>
      </c>
      <c r="H30" s="18" t="s">
        <v>34</v>
      </c>
      <c r="I30" s="18">
        <v>85</v>
      </c>
      <c r="J30" s="18">
        <v>85</v>
      </c>
      <c r="K30" s="51">
        <v>85</v>
      </c>
      <c r="L30" s="208" t="s">
        <v>779</v>
      </c>
      <c r="M30" s="215" t="s">
        <v>785</v>
      </c>
      <c r="N30" s="210" t="s">
        <v>89</v>
      </c>
      <c r="O30" s="211" t="s">
        <v>19</v>
      </c>
    </row>
    <row r="31" spans="1:15" ht="210">
      <c r="A31" s="1192"/>
      <c r="B31" s="884"/>
      <c r="C31" s="188" t="s">
        <v>786</v>
      </c>
      <c r="D31" s="884"/>
      <c r="E31" s="23" t="s">
        <v>787</v>
      </c>
      <c r="F31" s="18" t="s">
        <v>34</v>
      </c>
      <c r="G31" s="18" t="s">
        <v>34</v>
      </c>
      <c r="H31" s="18" t="s">
        <v>34</v>
      </c>
      <c r="I31" s="18">
        <v>85</v>
      </c>
      <c r="J31" s="18">
        <v>90</v>
      </c>
      <c r="K31" s="51">
        <v>90</v>
      </c>
      <c r="L31" s="208" t="s">
        <v>788</v>
      </c>
      <c r="M31" s="216" t="s">
        <v>115</v>
      </c>
      <c r="N31" s="210" t="s">
        <v>116</v>
      </c>
      <c r="O31" s="211" t="s">
        <v>19</v>
      </c>
    </row>
    <row r="32" spans="1:15" ht="116.45" customHeight="1">
      <c r="A32" s="894" t="s">
        <v>789</v>
      </c>
      <c r="B32" s="885" t="s">
        <v>790</v>
      </c>
      <c r="C32" s="188" t="s">
        <v>791</v>
      </c>
      <c r="D32" s="23" t="s">
        <v>792</v>
      </c>
      <c r="E32" s="885" t="s">
        <v>793</v>
      </c>
      <c r="F32" s="192">
        <v>100</v>
      </c>
      <c r="G32" s="192">
        <v>100</v>
      </c>
      <c r="H32" s="192">
        <v>100</v>
      </c>
      <c r="I32" s="192">
        <v>100</v>
      </c>
      <c r="J32" s="192">
        <v>100</v>
      </c>
      <c r="K32" s="217">
        <v>100</v>
      </c>
      <c r="L32" s="218" t="s">
        <v>794</v>
      </c>
      <c r="M32" s="212"/>
      <c r="N32" s="210" t="s">
        <v>18</v>
      </c>
      <c r="O32" s="211" t="s">
        <v>119</v>
      </c>
    </row>
    <row r="33" spans="1:15" ht="146.25" customHeight="1">
      <c r="A33" s="894"/>
      <c r="B33" s="885"/>
      <c r="C33" s="188" t="s">
        <v>786</v>
      </c>
      <c r="D33" s="21" t="s">
        <v>125</v>
      </c>
      <c r="E33" s="885"/>
      <c r="F33" s="18" t="s">
        <v>34</v>
      </c>
      <c r="G33" s="18" t="s">
        <v>34</v>
      </c>
      <c r="H33" s="18" t="s">
        <v>34</v>
      </c>
      <c r="I33" s="18" t="s">
        <v>34</v>
      </c>
      <c r="J33" s="45" t="s">
        <v>126</v>
      </c>
      <c r="K33" s="46" t="s">
        <v>127</v>
      </c>
      <c r="L33" s="219"/>
      <c r="M33" s="205"/>
      <c r="N33" s="206"/>
      <c r="O33" s="207"/>
    </row>
    <row r="34" spans="1:15" ht="38.450000000000003" customHeight="1">
      <c r="A34" s="185" t="s">
        <v>3</v>
      </c>
      <c r="B34" s="1004" t="s">
        <v>128</v>
      </c>
      <c r="C34" s="1004"/>
      <c r="D34" s="1004"/>
      <c r="E34" s="1004"/>
      <c r="F34" s="1004"/>
      <c r="G34" s="1004"/>
      <c r="H34" s="1004"/>
      <c r="I34" s="1004"/>
      <c r="J34" s="1004"/>
      <c r="K34" s="1005"/>
      <c r="L34" s="202"/>
      <c r="M34" s="205"/>
      <c r="N34" s="206"/>
      <c r="O34" s="207"/>
    </row>
    <row r="35" spans="1:15" ht="42.95" customHeight="1">
      <c r="A35" s="1001" t="s">
        <v>129</v>
      </c>
      <c r="B35" s="1002"/>
      <c r="C35" s="1002"/>
      <c r="D35" s="1002"/>
      <c r="E35" s="1002"/>
      <c r="F35" s="1002"/>
      <c r="G35" s="1002"/>
      <c r="H35" s="1002"/>
      <c r="I35" s="1002"/>
      <c r="J35" s="1002"/>
      <c r="K35" s="1003"/>
      <c r="L35" s="204"/>
      <c r="M35" s="205"/>
      <c r="N35" s="206"/>
      <c r="O35" s="207"/>
    </row>
    <row r="36" spans="1:15" ht="274.5" customHeight="1">
      <c r="A36" s="24" t="s">
        <v>795</v>
      </c>
      <c r="B36" s="23" t="s">
        <v>796</v>
      </c>
      <c r="C36" s="21" t="s">
        <v>797</v>
      </c>
      <c r="D36" s="23" t="s">
        <v>134</v>
      </c>
      <c r="E36" s="23" t="s">
        <v>798</v>
      </c>
      <c r="F36" s="192" t="s">
        <v>136</v>
      </c>
      <c r="G36" s="192" t="s">
        <v>136</v>
      </c>
      <c r="H36" s="192" t="s">
        <v>136</v>
      </c>
      <c r="I36" s="45">
        <v>80</v>
      </c>
      <c r="J36" s="45">
        <v>90</v>
      </c>
      <c r="K36" s="46">
        <v>100</v>
      </c>
      <c r="L36" s="218" t="s">
        <v>180</v>
      </c>
      <c r="M36" s="205"/>
      <c r="N36" s="206"/>
      <c r="O36" s="207"/>
    </row>
    <row r="37" spans="1:15" ht="25.5" customHeight="1">
      <c r="A37" s="1006" t="s">
        <v>138</v>
      </c>
      <c r="B37" s="1007"/>
      <c r="C37" s="1007"/>
      <c r="D37" s="1007"/>
      <c r="E37" s="1007"/>
      <c r="F37" s="1007"/>
      <c r="G37" s="1007"/>
      <c r="H37" s="1007"/>
      <c r="I37" s="1007"/>
      <c r="J37" s="1007"/>
      <c r="K37" s="1008"/>
      <c r="L37" s="220"/>
      <c r="M37" s="205"/>
      <c r="N37" s="206"/>
      <c r="O37" s="207"/>
    </row>
    <row r="38" spans="1:15" ht="78" customHeight="1">
      <c r="A38" s="894" t="s">
        <v>799</v>
      </c>
      <c r="B38" s="885" t="s">
        <v>800</v>
      </c>
      <c r="C38" s="885" t="s">
        <v>801</v>
      </c>
      <c r="D38" s="994" t="s">
        <v>802</v>
      </c>
      <c r="E38" s="188" t="s">
        <v>803</v>
      </c>
      <c r="F38" s="18" t="s">
        <v>34</v>
      </c>
      <c r="G38" s="18">
        <v>1</v>
      </c>
      <c r="H38" s="18">
        <v>2</v>
      </c>
      <c r="I38" s="18">
        <v>3</v>
      </c>
      <c r="J38" s="18">
        <v>4</v>
      </c>
      <c r="K38" s="51">
        <v>5</v>
      </c>
      <c r="L38" s="208" t="s">
        <v>143</v>
      </c>
      <c r="M38" s="215" t="s">
        <v>804</v>
      </c>
      <c r="N38" s="210" t="s">
        <v>140</v>
      </c>
      <c r="O38" s="211" t="s">
        <v>19</v>
      </c>
    </row>
    <row r="39" spans="1:15" ht="255" customHeight="1">
      <c r="A39" s="894"/>
      <c r="B39" s="885"/>
      <c r="C39" s="885"/>
      <c r="D39" s="994"/>
      <c r="E39" s="188" t="s">
        <v>805</v>
      </c>
      <c r="F39" s="18" t="s">
        <v>34</v>
      </c>
      <c r="G39" s="18">
        <v>1</v>
      </c>
      <c r="H39" s="18">
        <v>2</v>
      </c>
      <c r="I39" s="18">
        <v>3</v>
      </c>
      <c r="J39" s="18">
        <v>4</v>
      </c>
      <c r="K39" s="51">
        <v>5</v>
      </c>
      <c r="L39" s="208" t="s">
        <v>143</v>
      </c>
      <c r="M39" s="215" t="s">
        <v>804</v>
      </c>
      <c r="N39" s="210" t="s">
        <v>140</v>
      </c>
      <c r="O39" s="211" t="s">
        <v>19</v>
      </c>
    </row>
    <row r="40" spans="1:15" ht="156.75" customHeight="1">
      <c r="A40" s="894"/>
      <c r="B40" s="885"/>
      <c r="C40" s="885"/>
      <c r="D40" s="994"/>
      <c r="E40" s="21" t="s">
        <v>806</v>
      </c>
      <c r="F40" s="18" t="s">
        <v>34</v>
      </c>
      <c r="G40" s="18">
        <v>1</v>
      </c>
      <c r="H40" s="18">
        <v>2</v>
      </c>
      <c r="I40" s="18">
        <v>3</v>
      </c>
      <c r="J40" s="18">
        <v>4</v>
      </c>
      <c r="K40" s="51">
        <v>5</v>
      </c>
      <c r="L40" s="208" t="s">
        <v>143</v>
      </c>
      <c r="M40" s="215" t="s">
        <v>804</v>
      </c>
      <c r="N40" s="210" t="s">
        <v>140</v>
      </c>
      <c r="O40" s="211" t="s">
        <v>19</v>
      </c>
    </row>
    <row r="41" spans="1:15" ht="177.95" customHeight="1">
      <c r="A41" s="894"/>
      <c r="B41" s="885"/>
      <c r="C41" s="885"/>
      <c r="D41" s="994"/>
      <c r="E41" s="21" t="s">
        <v>807</v>
      </c>
      <c r="F41" s="18" t="s">
        <v>34</v>
      </c>
      <c r="G41" s="18">
        <v>1</v>
      </c>
      <c r="H41" s="18">
        <v>2</v>
      </c>
      <c r="I41" s="18">
        <v>3</v>
      </c>
      <c r="J41" s="18">
        <v>4</v>
      </c>
      <c r="K41" s="51">
        <v>5</v>
      </c>
      <c r="L41" s="208" t="s">
        <v>143</v>
      </c>
      <c r="M41" s="215" t="s">
        <v>804</v>
      </c>
      <c r="N41" s="210" t="s">
        <v>140</v>
      </c>
      <c r="O41" s="211" t="s">
        <v>19</v>
      </c>
    </row>
    <row r="42" spans="1:15" ht="78.75" customHeight="1">
      <c r="A42" s="891" t="s">
        <v>808</v>
      </c>
      <c r="B42" s="882" t="s">
        <v>800</v>
      </c>
      <c r="C42" s="882" t="s">
        <v>809</v>
      </c>
      <c r="D42" s="21" t="s">
        <v>810</v>
      </c>
      <c r="E42" s="193" t="s">
        <v>811</v>
      </c>
      <c r="F42" s="45" t="s">
        <v>34</v>
      </c>
      <c r="G42" s="45" t="s">
        <v>34</v>
      </c>
      <c r="H42" s="45" t="s">
        <v>34</v>
      </c>
      <c r="I42" s="45">
        <v>60</v>
      </c>
      <c r="J42" s="45">
        <v>70</v>
      </c>
      <c r="K42" s="46">
        <v>80</v>
      </c>
      <c r="L42" s="208" t="s">
        <v>143</v>
      </c>
      <c r="M42" s="215" t="s">
        <v>804</v>
      </c>
      <c r="N42" s="210" t="s">
        <v>140</v>
      </c>
      <c r="O42" s="211" t="s">
        <v>19</v>
      </c>
    </row>
    <row r="43" spans="1:15" ht="164.25" customHeight="1">
      <c r="A43" s="1193"/>
      <c r="B43" s="1174"/>
      <c r="C43" s="1174"/>
      <c r="D43" s="196" t="s">
        <v>812</v>
      </c>
      <c r="E43" s="197" t="s">
        <v>813</v>
      </c>
      <c r="F43" s="198" t="s">
        <v>34</v>
      </c>
      <c r="G43" s="198" t="s">
        <v>34</v>
      </c>
      <c r="H43" s="198" t="s">
        <v>34</v>
      </c>
      <c r="I43" s="198" t="s">
        <v>81</v>
      </c>
      <c r="J43" s="221" t="s">
        <v>157</v>
      </c>
      <c r="K43" s="222" t="s">
        <v>157</v>
      </c>
      <c r="L43" s="223" t="s">
        <v>143</v>
      </c>
      <c r="M43" s="224" t="s">
        <v>814</v>
      </c>
      <c r="N43" s="225" t="s">
        <v>140</v>
      </c>
      <c r="O43" s="226" t="s">
        <v>19</v>
      </c>
    </row>
    <row r="44" spans="1:15" ht="28.5" customHeight="1">
      <c r="A44" s="1194" t="s">
        <v>163</v>
      </c>
      <c r="B44" s="1138" t="s">
        <v>164</v>
      </c>
      <c r="C44" s="1138"/>
      <c r="D44" s="1138"/>
      <c r="E44" s="1138"/>
      <c r="F44" s="1138"/>
      <c r="G44" s="1138"/>
      <c r="H44" s="1138"/>
      <c r="I44" s="1138"/>
      <c r="J44" s="1138"/>
      <c r="K44" s="1139"/>
      <c r="L44" s="227"/>
      <c r="M44" s="817" t="s">
        <v>0</v>
      </c>
      <c r="N44" s="818"/>
      <c r="O44" s="819"/>
    </row>
    <row r="45" spans="1:15">
      <c r="A45" s="1195"/>
      <c r="B45" s="1041"/>
      <c r="C45" s="1041"/>
      <c r="D45" s="1041"/>
      <c r="E45" s="1041"/>
      <c r="F45" s="1041"/>
      <c r="G45" s="1041"/>
      <c r="H45" s="1041"/>
      <c r="I45" s="1041"/>
      <c r="J45" s="1041"/>
      <c r="K45" s="1052"/>
      <c r="L45" s="229"/>
      <c r="M45" s="820"/>
      <c r="N45" s="809"/>
      <c r="O45" s="821"/>
    </row>
    <row r="46" spans="1:15" ht="45.6" customHeight="1">
      <c r="A46" s="199" t="s">
        <v>3</v>
      </c>
      <c r="B46" s="1043" t="s">
        <v>165</v>
      </c>
      <c r="C46" s="1043"/>
      <c r="D46" s="1043"/>
      <c r="E46" s="1043"/>
      <c r="F46" s="1043"/>
      <c r="G46" s="1043"/>
      <c r="H46" s="1043"/>
      <c r="I46" s="1043"/>
      <c r="J46" s="1043"/>
      <c r="K46" s="1051"/>
      <c r="L46" s="230"/>
      <c r="M46" s="820"/>
      <c r="N46" s="809"/>
      <c r="O46" s="821"/>
    </row>
    <row r="47" spans="1:15" ht="39" customHeight="1">
      <c r="A47" s="1195" t="s">
        <v>8</v>
      </c>
      <c r="B47" s="1041" t="s">
        <v>9</v>
      </c>
      <c r="C47" s="1041" t="s">
        <v>166</v>
      </c>
      <c r="D47" s="1041" t="s">
        <v>11</v>
      </c>
      <c r="E47" s="1041" t="s">
        <v>719</v>
      </c>
      <c r="F47" s="1041" t="s">
        <v>14</v>
      </c>
      <c r="G47" s="1041"/>
      <c r="H47" s="1041"/>
      <c r="I47" s="1041"/>
      <c r="J47" s="1041"/>
      <c r="K47" s="1052"/>
      <c r="L47" s="229"/>
      <c r="M47" s="851" t="s">
        <v>5</v>
      </c>
      <c r="N47" s="920" t="s">
        <v>6</v>
      </c>
      <c r="O47" s="844" t="s">
        <v>7</v>
      </c>
    </row>
    <row r="48" spans="1:15" ht="36.6" customHeight="1">
      <c r="A48" s="1195"/>
      <c r="B48" s="1041"/>
      <c r="C48" s="1041"/>
      <c r="D48" s="1041"/>
      <c r="E48" s="1041"/>
      <c r="F48" s="200">
        <v>65</v>
      </c>
      <c r="G48" s="200">
        <v>66</v>
      </c>
      <c r="H48" s="200">
        <v>67</v>
      </c>
      <c r="I48" s="200">
        <v>68</v>
      </c>
      <c r="J48" s="200">
        <v>69</v>
      </c>
      <c r="K48" s="228">
        <v>70</v>
      </c>
      <c r="L48" s="229"/>
      <c r="M48" s="851"/>
      <c r="N48" s="920"/>
      <c r="O48" s="844"/>
    </row>
    <row r="49" spans="1:15" ht="69.95" customHeight="1">
      <c r="A49" s="1001" t="s">
        <v>815</v>
      </c>
      <c r="B49" s="1002"/>
      <c r="C49" s="1002"/>
      <c r="D49" s="1002"/>
      <c r="E49" s="1002"/>
      <c r="F49" s="1002"/>
      <c r="G49" s="1002"/>
      <c r="H49" s="1002"/>
      <c r="I49" s="1002"/>
      <c r="J49" s="1002"/>
      <c r="K49" s="1003"/>
      <c r="L49" s="204"/>
      <c r="M49" s="231">
        <f>8+2+1+5+1+2</f>
        <v>19</v>
      </c>
      <c r="N49" s="49"/>
      <c r="O49" s="50"/>
    </row>
    <row r="50" spans="1:15" ht="65.45" customHeight="1">
      <c r="A50" s="894" t="s">
        <v>816</v>
      </c>
      <c r="B50" s="885" t="s">
        <v>817</v>
      </c>
      <c r="C50" s="882" t="s">
        <v>797</v>
      </c>
      <c r="D50" s="23" t="s">
        <v>818</v>
      </c>
      <c r="E50" s="21" t="s">
        <v>819</v>
      </c>
      <c r="F50" s="18">
        <v>31</v>
      </c>
      <c r="G50" s="18">
        <v>34</v>
      </c>
      <c r="H50" s="18">
        <v>47</v>
      </c>
      <c r="I50" s="18">
        <v>50</v>
      </c>
      <c r="J50" s="18">
        <v>55</v>
      </c>
      <c r="K50" s="51">
        <v>60</v>
      </c>
      <c r="L50" s="232"/>
      <c r="M50" s="48" t="s">
        <v>820</v>
      </c>
      <c r="N50" s="62" t="s">
        <v>183</v>
      </c>
      <c r="O50" s="233" t="s">
        <v>19</v>
      </c>
    </row>
    <row r="51" spans="1:15" ht="85.5" customHeight="1">
      <c r="A51" s="894"/>
      <c r="B51" s="885"/>
      <c r="C51" s="884"/>
      <c r="D51" s="23" t="s">
        <v>821</v>
      </c>
      <c r="E51" s="21" t="s">
        <v>822</v>
      </c>
      <c r="F51" s="192">
        <v>40</v>
      </c>
      <c r="G51" s="192">
        <v>50</v>
      </c>
      <c r="H51" s="192">
        <v>65</v>
      </c>
      <c r="I51" s="192">
        <v>70</v>
      </c>
      <c r="J51" s="192">
        <v>75</v>
      </c>
      <c r="K51" s="217">
        <v>80</v>
      </c>
      <c r="L51" s="234"/>
      <c r="M51" s="48" t="s">
        <v>820</v>
      </c>
      <c r="N51" s="62" t="s">
        <v>183</v>
      </c>
      <c r="O51" s="233" t="s">
        <v>19</v>
      </c>
    </row>
    <row r="52" spans="1:15" ht="81.75" customHeight="1">
      <c r="A52" s="894"/>
      <c r="B52" s="885"/>
      <c r="C52" s="23" t="s">
        <v>823</v>
      </c>
      <c r="D52" s="23" t="s">
        <v>824</v>
      </c>
      <c r="E52" s="21" t="s">
        <v>825</v>
      </c>
      <c r="F52" s="192" t="s">
        <v>34</v>
      </c>
      <c r="G52" s="192" t="s">
        <v>34</v>
      </c>
      <c r="H52" s="192">
        <v>65</v>
      </c>
      <c r="I52" s="192">
        <v>70</v>
      </c>
      <c r="J52" s="192">
        <v>75</v>
      </c>
      <c r="K52" s="217">
        <v>80</v>
      </c>
      <c r="L52" s="234"/>
      <c r="M52" s="48" t="s">
        <v>820</v>
      </c>
      <c r="N52" s="62" t="s">
        <v>183</v>
      </c>
      <c r="O52" s="233" t="s">
        <v>19</v>
      </c>
    </row>
    <row r="53" spans="1:15" ht="87.6" customHeight="1">
      <c r="A53" s="894" t="s">
        <v>826</v>
      </c>
      <c r="B53" s="885" t="s">
        <v>817</v>
      </c>
      <c r="C53" s="885" t="s">
        <v>797</v>
      </c>
      <c r="D53" s="23" t="s">
        <v>827</v>
      </c>
      <c r="E53" s="21" t="s">
        <v>828</v>
      </c>
      <c r="F53" s="192" t="s">
        <v>34</v>
      </c>
      <c r="G53" s="192">
        <v>2</v>
      </c>
      <c r="H53" s="192">
        <v>3</v>
      </c>
      <c r="I53" s="192">
        <v>4</v>
      </c>
      <c r="J53" s="192">
        <v>5</v>
      </c>
      <c r="K53" s="217">
        <v>6</v>
      </c>
      <c r="L53" s="234"/>
      <c r="M53" s="48" t="s">
        <v>829</v>
      </c>
      <c r="N53" s="62" t="s">
        <v>169</v>
      </c>
      <c r="O53" s="233" t="s">
        <v>19</v>
      </c>
    </row>
    <row r="54" spans="1:15" ht="110.25" customHeight="1">
      <c r="A54" s="894"/>
      <c r="B54" s="885"/>
      <c r="C54" s="885"/>
      <c r="D54" s="23" t="s">
        <v>830</v>
      </c>
      <c r="E54" s="23" t="s">
        <v>831</v>
      </c>
      <c r="F54" s="192" t="s">
        <v>34</v>
      </c>
      <c r="G54" s="192" t="s">
        <v>34</v>
      </c>
      <c r="H54" s="192">
        <v>14</v>
      </c>
      <c r="I54" s="192">
        <v>16</v>
      </c>
      <c r="J54" s="192">
        <v>18</v>
      </c>
      <c r="K54" s="217">
        <v>20</v>
      </c>
      <c r="L54" s="234"/>
      <c r="M54" s="48" t="s">
        <v>832</v>
      </c>
      <c r="N54" s="62" t="s">
        <v>169</v>
      </c>
      <c r="O54" s="233" t="s">
        <v>19</v>
      </c>
    </row>
    <row r="55" spans="1:15" ht="72" customHeight="1">
      <c r="A55" s="894"/>
      <c r="B55" s="885"/>
      <c r="C55" s="885"/>
      <c r="D55" s="23"/>
      <c r="E55" s="23" t="s">
        <v>833</v>
      </c>
      <c r="F55" s="192" t="s">
        <v>34</v>
      </c>
      <c r="G55" s="192" t="s">
        <v>34</v>
      </c>
      <c r="H55" s="192">
        <v>1</v>
      </c>
      <c r="I55" s="192">
        <v>2</v>
      </c>
      <c r="J55" s="192">
        <v>4</v>
      </c>
      <c r="K55" s="217">
        <v>5</v>
      </c>
      <c r="L55" s="234"/>
      <c r="M55" s="48" t="s">
        <v>832</v>
      </c>
      <c r="N55" s="62" t="s">
        <v>169</v>
      </c>
      <c r="O55" s="233" t="s">
        <v>19</v>
      </c>
    </row>
    <row r="56" spans="1:15" ht="72" customHeight="1">
      <c r="A56" s="894"/>
      <c r="B56" s="885"/>
      <c r="C56" s="885"/>
      <c r="D56" s="23"/>
      <c r="E56" s="23" t="s">
        <v>834</v>
      </c>
      <c r="F56" s="192" t="s">
        <v>34</v>
      </c>
      <c r="G56" s="192" t="s">
        <v>34</v>
      </c>
      <c r="H56" s="192">
        <v>1</v>
      </c>
      <c r="I56" s="192">
        <v>2</v>
      </c>
      <c r="J56" s="192">
        <v>3</v>
      </c>
      <c r="K56" s="217">
        <v>4</v>
      </c>
      <c r="L56" s="234"/>
      <c r="M56" s="48" t="s">
        <v>832</v>
      </c>
      <c r="N56" s="62" t="s">
        <v>169</v>
      </c>
      <c r="O56" s="233" t="s">
        <v>19</v>
      </c>
    </row>
    <row r="57" spans="1:15" ht="214.5" customHeight="1">
      <c r="A57" s="36" t="s">
        <v>835</v>
      </c>
      <c r="B57" s="21" t="s">
        <v>817</v>
      </c>
      <c r="C57" s="21" t="s">
        <v>836</v>
      </c>
      <c r="D57" s="23" t="s">
        <v>837</v>
      </c>
      <c r="E57" s="23" t="s">
        <v>838</v>
      </c>
      <c r="F57" s="192" t="s">
        <v>34</v>
      </c>
      <c r="G57" s="192">
        <v>3</v>
      </c>
      <c r="H57" s="192">
        <v>10</v>
      </c>
      <c r="I57" s="192">
        <v>12</v>
      </c>
      <c r="J57" s="192">
        <v>14</v>
      </c>
      <c r="K57" s="217">
        <v>15</v>
      </c>
      <c r="L57" s="234"/>
      <c r="M57" s="48"/>
      <c r="N57" s="62" t="s">
        <v>192</v>
      </c>
      <c r="O57" s="233" t="s">
        <v>19</v>
      </c>
    </row>
    <row r="58" spans="1:15" ht="42.6" customHeight="1">
      <c r="A58" s="1202" t="s">
        <v>839</v>
      </c>
      <c r="B58" s="1002"/>
      <c r="C58" s="1002"/>
      <c r="D58" s="1002"/>
      <c r="E58" s="1002"/>
      <c r="F58" s="1002"/>
      <c r="G58" s="1002"/>
      <c r="H58" s="1002"/>
      <c r="I58" s="1002"/>
      <c r="J58" s="1002"/>
      <c r="K58" s="1003"/>
      <c r="L58" s="204"/>
      <c r="M58" s="58"/>
      <c r="N58" s="49"/>
      <c r="O58" s="235"/>
    </row>
    <row r="59" spans="1:15" ht="102.6" customHeight="1">
      <c r="A59" s="891" t="s">
        <v>840</v>
      </c>
      <c r="B59" s="882" t="s">
        <v>841</v>
      </c>
      <c r="C59" s="188" t="s">
        <v>842</v>
      </c>
      <c r="D59" s="201" t="s">
        <v>830</v>
      </c>
      <c r="E59" s="23" t="s">
        <v>843</v>
      </c>
      <c r="F59" s="192" t="s">
        <v>34</v>
      </c>
      <c r="G59" s="192" t="s">
        <v>34</v>
      </c>
      <c r="H59" s="192">
        <v>2</v>
      </c>
      <c r="I59" s="192">
        <v>5</v>
      </c>
      <c r="J59" s="192">
        <v>8</v>
      </c>
      <c r="K59" s="217">
        <v>10</v>
      </c>
      <c r="L59" s="234"/>
      <c r="M59" s="48" t="s">
        <v>832</v>
      </c>
      <c r="N59" s="62" t="s">
        <v>199</v>
      </c>
      <c r="O59" s="233" t="s">
        <v>19</v>
      </c>
    </row>
    <row r="60" spans="1:15" ht="102.6" customHeight="1">
      <c r="A60" s="893"/>
      <c r="B60" s="884"/>
      <c r="C60" s="188" t="s">
        <v>844</v>
      </c>
      <c r="D60" s="201" t="s">
        <v>845</v>
      </c>
      <c r="E60" s="23" t="s">
        <v>846</v>
      </c>
      <c r="F60" s="192" t="s">
        <v>34</v>
      </c>
      <c r="G60" s="192" t="s">
        <v>34</v>
      </c>
      <c r="H60" s="192">
        <v>3</v>
      </c>
      <c r="I60" s="192">
        <v>6</v>
      </c>
      <c r="J60" s="192">
        <v>8</v>
      </c>
      <c r="K60" s="217">
        <v>10</v>
      </c>
      <c r="L60" s="234"/>
      <c r="M60" s="48" t="s">
        <v>832</v>
      </c>
      <c r="N60" s="62" t="s">
        <v>199</v>
      </c>
      <c r="O60" s="233" t="s">
        <v>19</v>
      </c>
    </row>
    <row r="61" spans="1:15" ht="62.1" customHeight="1">
      <c r="A61" s="199" t="s">
        <v>3</v>
      </c>
      <c r="B61" s="1043" t="s">
        <v>847</v>
      </c>
      <c r="C61" s="1043"/>
      <c r="D61" s="1043"/>
      <c r="E61" s="1043"/>
      <c r="F61" s="1043"/>
      <c r="G61" s="1043"/>
      <c r="H61" s="1043"/>
      <c r="I61" s="1043"/>
      <c r="J61" s="1043"/>
      <c r="K61" s="1051"/>
      <c r="L61" s="230"/>
      <c r="M61" s="58"/>
      <c r="N61" s="49"/>
      <c r="O61" s="235"/>
    </row>
    <row r="62" spans="1:15" ht="33.950000000000003" customHeight="1">
      <c r="A62" s="1001" t="s">
        <v>848</v>
      </c>
      <c r="B62" s="1002"/>
      <c r="C62" s="1002"/>
      <c r="D62" s="1002"/>
      <c r="E62" s="1002"/>
      <c r="F62" s="1002"/>
      <c r="G62" s="1002"/>
      <c r="H62" s="1002"/>
      <c r="I62" s="1002"/>
      <c r="J62" s="1002"/>
      <c r="K62" s="1003"/>
      <c r="L62" s="204"/>
      <c r="M62" s="58"/>
      <c r="N62" s="49"/>
      <c r="O62" s="235"/>
    </row>
    <row r="63" spans="1:15" ht="65.099999999999994" customHeight="1">
      <c r="A63" s="891" t="s">
        <v>849</v>
      </c>
      <c r="B63" s="1045" t="s">
        <v>817</v>
      </c>
      <c r="C63" s="1203" t="s">
        <v>850</v>
      </c>
      <c r="D63" s="201" t="s">
        <v>851</v>
      </c>
      <c r="E63" s="201" t="s">
        <v>852</v>
      </c>
      <c r="F63" s="192" t="s">
        <v>34</v>
      </c>
      <c r="G63" s="18">
        <v>80</v>
      </c>
      <c r="H63" s="18">
        <v>85</v>
      </c>
      <c r="I63" s="18">
        <v>90</v>
      </c>
      <c r="J63" s="18">
        <v>92</v>
      </c>
      <c r="K63" s="51">
        <v>97</v>
      </c>
      <c r="L63" s="232"/>
      <c r="M63" s="48"/>
      <c r="N63" s="62"/>
      <c r="O63" s="233" t="s">
        <v>19</v>
      </c>
    </row>
    <row r="64" spans="1:15" ht="93.6" customHeight="1">
      <c r="A64" s="892"/>
      <c r="B64" s="1158"/>
      <c r="C64" s="1204"/>
      <c r="D64" s="36" t="s">
        <v>853</v>
      </c>
      <c r="E64" s="201"/>
      <c r="F64" s="188"/>
      <c r="G64" s="188"/>
      <c r="H64" s="188"/>
      <c r="I64" s="188"/>
      <c r="J64" s="188"/>
      <c r="K64" s="236"/>
      <c r="L64" s="237"/>
      <c r="M64" s="48"/>
      <c r="N64" s="62"/>
      <c r="O64" s="235"/>
    </row>
    <row r="65" spans="1:15" ht="131.25">
      <c r="A65" s="893"/>
      <c r="B65" s="1046"/>
      <c r="C65" s="1205"/>
      <c r="D65" s="28" t="s">
        <v>854</v>
      </c>
      <c r="E65" s="201"/>
      <c r="F65" s="188"/>
      <c r="G65" s="188"/>
      <c r="H65" s="188"/>
      <c r="I65" s="188"/>
      <c r="J65" s="188"/>
      <c r="K65" s="236"/>
      <c r="L65" s="257"/>
      <c r="M65" s="258"/>
      <c r="N65" s="259"/>
      <c r="O65" s="260"/>
    </row>
    <row r="66" spans="1:15" ht="47.25" customHeight="1">
      <c r="A66" s="1001" t="s">
        <v>855</v>
      </c>
      <c r="B66" s="1002"/>
      <c r="C66" s="1002"/>
      <c r="D66" s="1002"/>
      <c r="E66" s="1002"/>
      <c r="F66" s="1002"/>
      <c r="G66" s="1002"/>
      <c r="H66" s="1002"/>
      <c r="I66" s="1002"/>
      <c r="J66" s="1002"/>
      <c r="K66" s="1003"/>
      <c r="L66" s="204"/>
      <c r="M66" s="58"/>
      <c r="N66" s="49"/>
      <c r="O66" s="235"/>
    </row>
    <row r="67" spans="1:15" ht="95.1" customHeight="1">
      <c r="A67" s="1188" t="s">
        <v>856</v>
      </c>
      <c r="B67" s="882" t="s">
        <v>817</v>
      </c>
      <c r="C67" s="882" t="s">
        <v>850</v>
      </c>
      <c r="D67" s="1045" t="s">
        <v>857</v>
      </c>
      <c r="E67" s="201" t="s">
        <v>858</v>
      </c>
      <c r="F67" s="238" t="s">
        <v>34</v>
      </c>
      <c r="G67" s="238" t="s">
        <v>34</v>
      </c>
      <c r="H67" s="238">
        <v>8</v>
      </c>
      <c r="I67" s="238">
        <v>8</v>
      </c>
      <c r="J67" s="238">
        <v>9</v>
      </c>
      <c r="K67" s="261">
        <v>10</v>
      </c>
      <c r="L67" s="262"/>
      <c r="M67" s="48" t="s">
        <v>859</v>
      </c>
      <c r="N67" s="49" t="s">
        <v>217</v>
      </c>
      <c r="O67" s="233" t="s">
        <v>19</v>
      </c>
    </row>
    <row r="68" spans="1:15" ht="60" customHeight="1">
      <c r="A68" s="1189"/>
      <c r="B68" s="883"/>
      <c r="C68" s="883"/>
      <c r="D68" s="1158"/>
      <c r="E68" s="239" t="s">
        <v>860</v>
      </c>
      <c r="F68" s="240">
        <v>10</v>
      </c>
      <c r="G68" s="240" t="s">
        <v>222</v>
      </c>
      <c r="H68" s="240" t="s">
        <v>223</v>
      </c>
      <c r="I68" s="240" t="s">
        <v>224</v>
      </c>
      <c r="J68" s="240" t="s">
        <v>225</v>
      </c>
      <c r="K68" s="263" t="s">
        <v>226</v>
      </c>
      <c r="L68" s="264"/>
      <c r="M68" s="48" t="s">
        <v>859</v>
      </c>
      <c r="N68" s="49" t="s">
        <v>217</v>
      </c>
      <c r="O68" s="233" t="s">
        <v>19</v>
      </c>
    </row>
    <row r="69" spans="1:15" ht="90" customHeight="1">
      <c r="A69" s="1190"/>
      <c r="B69" s="884"/>
      <c r="C69" s="884"/>
      <c r="D69" s="1046"/>
      <c r="E69" s="201" t="s">
        <v>861</v>
      </c>
      <c r="F69" s="241">
        <v>1</v>
      </c>
      <c r="G69" s="241">
        <v>1</v>
      </c>
      <c r="H69" s="241">
        <v>1.5</v>
      </c>
      <c r="I69" s="241">
        <v>1.5</v>
      </c>
      <c r="J69" s="241">
        <v>2</v>
      </c>
      <c r="K69" s="265">
        <v>2</v>
      </c>
      <c r="L69" s="266"/>
      <c r="M69" s="48" t="s">
        <v>859</v>
      </c>
      <c r="N69" s="49" t="s">
        <v>217</v>
      </c>
      <c r="O69" s="233" t="s">
        <v>19</v>
      </c>
    </row>
    <row r="70" spans="1:15" ht="164.45" customHeight="1">
      <c r="A70" s="190" t="s">
        <v>862</v>
      </c>
      <c r="B70" s="19" t="s">
        <v>817</v>
      </c>
      <c r="C70" s="19" t="s">
        <v>850</v>
      </c>
      <c r="D70" s="20" t="s">
        <v>863</v>
      </c>
      <c r="E70" s="201" t="s">
        <v>864</v>
      </c>
      <c r="F70" s="238" t="s">
        <v>34</v>
      </c>
      <c r="G70" s="238" t="s">
        <v>34</v>
      </c>
      <c r="H70" s="242">
        <v>1</v>
      </c>
      <c r="I70" s="242">
        <v>1</v>
      </c>
      <c r="J70" s="242">
        <v>2</v>
      </c>
      <c r="K70" s="267">
        <v>3</v>
      </c>
      <c r="L70" s="268"/>
      <c r="M70" s="48" t="s">
        <v>832</v>
      </c>
      <c r="N70" s="43" t="s">
        <v>169</v>
      </c>
      <c r="O70" s="233" t="s">
        <v>19</v>
      </c>
    </row>
    <row r="71" spans="1:15" ht="174" customHeight="1">
      <c r="A71" s="891" t="s">
        <v>865</v>
      </c>
      <c r="B71" s="882" t="s">
        <v>866</v>
      </c>
      <c r="C71" s="19" t="s">
        <v>867</v>
      </c>
      <c r="D71" s="20" t="s">
        <v>863</v>
      </c>
      <c r="E71" s="201" t="s">
        <v>868</v>
      </c>
      <c r="F71" s="192">
        <v>5</v>
      </c>
      <c r="G71" s="18">
        <v>10</v>
      </c>
      <c r="H71" s="18">
        <v>15</v>
      </c>
      <c r="I71" s="192">
        <v>15</v>
      </c>
      <c r="J71" s="192">
        <v>20</v>
      </c>
      <c r="K71" s="217">
        <v>25</v>
      </c>
      <c r="L71" s="269"/>
      <c r="M71" s="42"/>
      <c r="N71" s="43" t="s">
        <v>245</v>
      </c>
      <c r="O71" s="233" t="s">
        <v>19</v>
      </c>
    </row>
    <row r="72" spans="1:15" ht="113.45" customHeight="1">
      <c r="A72" s="893"/>
      <c r="B72" s="884"/>
      <c r="C72" s="243" t="s">
        <v>869</v>
      </c>
      <c r="D72" s="20" t="s">
        <v>870</v>
      </c>
      <c r="E72" s="201"/>
      <c r="F72" s="192"/>
      <c r="G72" s="18"/>
      <c r="H72" s="18"/>
      <c r="I72" s="192"/>
      <c r="J72" s="192"/>
      <c r="K72" s="217"/>
      <c r="L72" s="269"/>
      <c r="M72" s="42"/>
      <c r="N72" s="43"/>
      <c r="O72" s="260"/>
    </row>
    <row r="73" spans="1:15" ht="44.1" customHeight="1">
      <c r="A73" s="199" t="s">
        <v>3</v>
      </c>
      <c r="B73" s="1043" t="s">
        <v>231</v>
      </c>
      <c r="C73" s="1043"/>
      <c r="D73" s="1043"/>
      <c r="E73" s="1043"/>
      <c r="F73" s="1043"/>
      <c r="G73" s="1043"/>
      <c r="H73" s="1043"/>
      <c r="I73" s="1043"/>
      <c r="J73" s="1043"/>
      <c r="K73" s="1051"/>
      <c r="L73" s="230"/>
      <c r="M73" s="58"/>
      <c r="N73" s="49"/>
      <c r="O73" s="235"/>
    </row>
    <row r="74" spans="1:15" ht="33" customHeight="1">
      <c r="A74" s="907" t="s">
        <v>871</v>
      </c>
      <c r="B74" s="876"/>
      <c r="C74" s="876"/>
      <c r="D74" s="876"/>
      <c r="E74" s="876"/>
      <c r="F74" s="876"/>
      <c r="G74" s="876"/>
      <c r="H74" s="876"/>
      <c r="I74" s="876"/>
      <c r="J74" s="876"/>
      <c r="K74" s="877"/>
      <c r="L74" s="270"/>
      <c r="M74" s="58"/>
      <c r="N74" s="49"/>
      <c r="O74" s="235"/>
    </row>
    <row r="75" spans="1:15" ht="152.44999999999999" customHeight="1">
      <c r="A75" s="24" t="s">
        <v>872</v>
      </c>
      <c r="B75" s="23" t="s">
        <v>873</v>
      </c>
      <c r="C75" s="23" t="s">
        <v>874</v>
      </c>
      <c r="D75" s="24" t="s">
        <v>875</v>
      </c>
      <c r="E75" s="23" t="s">
        <v>876</v>
      </c>
      <c r="F75" s="192">
        <v>1</v>
      </c>
      <c r="G75" s="192" t="s">
        <v>34</v>
      </c>
      <c r="H75" s="192">
        <v>1</v>
      </c>
      <c r="I75" s="192">
        <v>1</v>
      </c>
      <c r="J75" s="192">
        <v>1</v>
      </c>
      <c r="K75" s="217">
        <v>1</v>
      </c>
      <c r="L75" s="234"/>
      <c r="M75" s="58"/>
      <c r="N75" s="49"/>
      <c r="O75" s="233" t="s">
        <v>19</v>
      </c>
    </row>
    <row r="76" spans="1:15" ht="35.1" customHeight="1">
      <c r="A76" s="907" t="s">
        <v>877</v>
      </c>
      <c r="B76" s="876"/>
      <c r="C76" s="876"/>
      <c r="D76" s="876"/>
      <c r="E76" s="876"/>
      <c r="F76" s="876"/>
      <c r="G76" s="876"/>
      <c r="H76" s="876"/>
      <c r="I76" s="876"/>
      <c r="J76" s="876"/>
      <c r="K76" s="877"/>
      <c r="L76" s="270"/>
      <c r="M76" s="58"/>
      <c r="N76" s="49"/>
      <c r="O76" s="235"/>
    </row>
    <row r="77" spans="1:15" ht="89.1" customHeight="1">
      <c r="A77" s="1011" t="s">
        <v>878</v>
      </c>
      <c r="B77" s="201" t="s">
        <v>873</v>
      </c>
      <c r="C77" s="23" t="s">
        <v>879</v>
      </c>
      <c r="D77" s="23" t="s">
        <v>880</v>
      </c>
      <c r="E77" s="188" t="s">
        <v>881</v>
      </c>
      <c r="F77" s="18">
        <v>0</v>
      </c>
      <c r="G77" s="18">
        <v>1</v>
      </c>
      <c r="H77" s="18">
        <v>1</v>
      </c>
      <c r="I77" s="18">
        <v>3</v>
      </c>
      <c r="J77" s="18">
        <v>4</v>
      </c>
      <c r="K77" s="51">
        <v>5</v>
      </c>
      <c r="L77" s="232"/>
      <c r="M77" s="48" t="s">
        <v>882</v>
      </c>
      <c r="N77" s="49"/>
      <c r="O77" s="233" t="s">
        <v>19</v>
      </c>
    </row>
    <row r="78" spans="1:15" ht="120.95" customHeight="1">
      <c r="A78" s="1011"/>
      <c r="B78" s="201" t="s">
        <v>817</v>
      </c>
      <c r="C78" s="23" t="s">
        <v>883</v>
      </c>
      <c r="D78" s="23" t="s">
        <v>884</v>
      </c>
      <c r="E78" s="188"/>
      <c r="F78" s="18"/>
      <c r="G78" s="18"/>
      <c r="H78" s="18"/>
      <c r="I78" s="18"/>
      <c r="J78" s="18"/>
      <c r="K78" s="51"/>
      <c r="L78" s="232"/>
      <c r="M78" s="58"/>
      <c r="N78" s="49"/>
      <c r="O78" s="235"/>
    </row>
    <row r="79" spans="1:15" ht="120.95" customHeight="1">
      <c r="A79" s="24" t="s">
        <v>885</v>
      </c>
      <c r="B79" s="21" t="s">
        <v>817</v>
      </c>
      <c r="C79" s="23" t="s">
        <v>886</v>
      </c>
      <c r="D79" s="23" t="s">
        <v>887</v>
      </c>
      <c r="E79" s="187" t="s">
        <v>888</v>
      </c>
      <c r="F79" s="244">
        <v>0</v>
      </c>
      <c r="G79" s="244">
        <v>12</v>
      </c>
      <c r="H79" s="244">
        <v>25</v>
      </c>
      <c r="I79" s="244">
        <v>30</v>
      </c>
      <c r="J79" s="244">
        <v>35</v>
      </c>
      <c r="K79" s="271">
        <v>40</v>
      </c>
      <c r="L79" s="272"/>
      <c r="M79" s="58"/>
      <c r="N79" s="49"/>
      <c r="O79" s="233" t="s">
        <v>19</v>
      </c>
    </row>
    <row r="80" spans="1:15" ht="151.5" customHeight="1">
      <c r="A80" s="245" t="s">
        <v>889</v>
      </c>
      <c r="B80" s="196" t="s">
        <v>817</v>
      </c>
      <c r="C80" s="246" t="s">
        <v>886</v>
      </c>
      <c r="D80" s="246" t="s">
        <v>890</v>
      </c>
      <c r="E80" s="247"/>
      <c r="F80" s="248"/>
      <c r="G80" s="248"/>
      <c r="H80" s="248"/>
      <c r="I80" s="248"/>
      <c r="J80" s="248"/>
      <c r="K80" s="273"/>
      <c r="L80" s="274"/>
      <c r="M80" s="275"/>
      <c r="N80" s="276"/>
      <c r="O80" s="277"/>
    </row>
    <row r="81" spans="1:15" ht="27" customHeight="1">
      <c r="A81" s="1081" t="s">
        <v>255</v>
      </c>
      <c r="B81" s="1145" t="s">
        <v>891</v>
      </c>
      <c r="C81" s="1145"/>
      <c r="D81" s="1145"/>
      <c r="E81" s="1145"/>
      <c r="F81" s="1145"/>
      <c r="G81" s="1145"/>
      <c r="H81" s="1145"/>
      <c r="I81" s="1145"/>
      <c r="J81" s="1145"/>
      <c r="K81" s="1146"/>
      <c r="L81" s="278"/>
      <c r="M81" s="817" t="s">
        <v>0</v>
      </c>
      <c r="N81" s="818"/>
      <c r="O81" s="819"/>
    </row>
    <row r="82" spans="1:15">
      <c r="A82" s="1075"/>
      <c r="B82" s="1076"/>
      <c r="C82" s="1076"/>
      <c r="D82" s="1076"/>
      <c r="E82" s="1076"/>
      <c r="F82" s="1076"/>
      <c r="G82" s="1076"/>
      <c r="H82" s="1076"/>
      <c r="I82" s="1076"/>
      <c r="J82" s="1076"/>
      <c r="K82" s="1077"/>
      <c r="L82" s="280"/>
      <c r="M82" s="820"/>
      <c r="N82" s="809"/>
      <c r="O82" s="821"/>
    </row>
    <row r="83" spans="1:15" ht="27" customHeight="1">
      <c r="A83" s="249" t="s">
        <v>3</v>
      </c>
      <c r="B83" s="1177" t="s">
        <v>892</v>
      </c>
      <c r="C83" s="1177"/>
      <c r="D83" s="1177"/>
      <c r="E83" s="1177"/>
      <c r="F83" s="1177"/>
      <c r="G83" s="1177"/>
      <c r="H83" s="1177"/>
      <c r="I83" s="1177"/>
      <c r="J83" s="1177"/>
      <c r="K83" s="1178"/>
      <c r="L83" s="281"/>
      <c r="M83" s="820"/>
      <c r="N83" s="809"/>
      <c r="O83" s="821"/>
    </row>
    <row r="84" spans="1:15" ht="33.950000000000003" customHeight="1">
      <c r="A84" s="1075" t="s">
        <v>8</v>
      </c>
      <c r="B84" s="1076" t="s">
        <v>9</v>
      </c>
      <c r="C84" s="1076" t="s">
        <v>166</v>
      </c>
      <c r="D84" s="1076" t="s">
        <v>11</v>
      </c>
      <c r="E84" s="1076" t="s">
        <v>719</v>
      </c>
      <c r="F84" s="1076" t="s">
        <v>14</v>
      </c>
      <c r="G84" s="1076"/>
      <c r="H84" s="1076"/>
      <c r="I84" s="1076"/>
      <c r="J84" s="1076"/>
      <c r="K84" s="1077"/>
      <c r="L84" s="280"/>
      <c r="M84" s="851" t="s">
        <v>5</v>
      </c>
      <c r="N84" s="920" t="s">
        <v>6</v>
      </c>
      <c r="O84" s="844" t="s">
        <v>7</v>
      </c>
    </row>
    <row r="85" spans="1:15" ht="29.45" customHeight="1">
      <c r="A85" s="1075"/>
      <c r="B85" s="1076"/>
      <c r="C85" s="1076"/>
      <c r="D85" s="1076"/>
      <c r="E85" s="1076"/>
      <c r="F85" s="250">
        <v>65</v>
      </c>
      <c r="G85" s="250">
        <v>66</v>
      </c>
      <c r="H85" s="250">
        <v>67</v>
      </c>
      <c r="I85" s="250">
        <v>68</v>
      </c>
      <c r="J85" s="250">
        <v>69</v>
      </c>
      <c r="K85" s="279">
        <v>70</v>
      </c>
      <c r="L85" s="280"/>
      <c r="M85" s="851"/>
      <c r="N85" s="920"/>
      <c r="O85" s="844"/>
    </row>
    <row r="86" spans="1:15" ht="60" customHeight="1">
      <c r="A86" s="1001" t="s">
        <v>893</v>
      </c>
      <c r="B86" s="1002"/>
      <c r="C86" s="1002"/>
      <c r="D86" s="1002"/>
      <c r="E86" s="1002"/>
      <c r="F86" s="1002"/>
      <c r="G86" s="1002"/>
      <c r="H86" s="1002"/>
      <c r="I86" s="1002"/>
      <c r="J86" s="1002"/>
      <c r="K86" s="1003"/>
      <c r="L86" s="204"/>
      <c r="M86" s="231">
        <f>2+1+3</f>
        <v>6</v>
      </c>
      <c r="N86" s="49"/>
      <c r="O86" s="50"/>
    </row>
    <row r="87" spans="1:15" ht="112.5" customHeight="1">
      <c r="A87" s="251" t="s">
        <v>894</v>
      </c>
      <c r="B87" s="15" t="s">
        <v>262</v>
      </c>
      <c r="C87" s="15" t="s">
        <v>895</v>
      </c>
      <c r="D87" s="23" t="s">
        <v>896</v>
      </c>
      <c r="E87" s="21" t="s">
        <v>897</v>
      </c>
      <c r="F87" s="18" t="s">
        <v>34</v>
      </c>
      <c r="G87" s="18" t="s">
        <v>34</v>
      </c>
      <c r="H87" s="18">
        <v>1</v>
      </c>
      <c r="I87" s="18" t="s">
        <v>266</v>
      </c>
      <c r="J87" s="18" t="s">
        <v>266</v>
      </c>
      <c r="K87" s="51" t="s">
        <v>266</v>
      </c>
      <c r="L87" s="232"/>
      <c r="M87" s="48" t="s">
        <v>898</v>
      </c>
      <c r="N87" s="62" t="s">
        <v>260</v>
      </c>
      <c r="O87" s="233" t="s">
        <v>19</v>
      </c>
    </row>
    <row r="88" spans="1:15" ht="112.5" customHeight="1">
      <c r="A88" s="36" t="s">
        <v>899</v>
      </c>
      <c r="B88" s="21" t="s">
        <v>262</v>
      </c>
      <c r="C88" s="21" t="s">
        <v>895</v>
      </c>
      <c r="D88" s="23" t="s">
        <v>900</v>
      </c>
      <c r="E88" s="21" t="s">
        <v>901</v>
      </c>
      <c r="F88" s="18" t="s">
        <v>34</v>
      </c>
      <c r="G88" s="18">
        <v>1</v>
      </c>
      <c r="H88" s="18">
        <v>1</v>
      </c>
      <c r="I88" s="18">
        <v>1</v>
      </c>
      <c r="J88" s="18">
        <v>1</v>
      </c>
      <c r="K88" s="18">
        <v>1</v>
      </c>
      <c r="L88" s="282"/>
      <c r="M88" s="48" t="s">
        <v>898</v>
      </c>
      <c r="N88" s="62" t="s">
        <v>267</v>
      </c>
      <c r="O88" s="233" t="s">
        <v>19</v>
      </c>
    </row>
    <row r="89" spans="1:15" ht="63" customHeight="1">
      <c r="A89" s="249" t="s">
        <v>3</v>
      </c>
      <c r="B89" s="1177" t="s">
        <v>902</v>
      </c>
      <c r="C89" s="1177"/>
      <c r="D89" s="1177"/>
      <c r="E89" s="1177"/>
      <c r="F89" s="1177"/>
      <c r="G89" s="1177"/>
      <c r="H89" s="1177"/>
      <c r="I89" s="1177"/>
      <c r="J89" s="1177"/>
      <c r="K89" s="1178"/>
      <c r="L89" s="281"/>
      <c r="M89" s="58"/>
      <c r="N89" s="62"/>
      <c r="O89" s="50"/>
    </row>
    <row r="90" spans="1:15" ht="63.95" customHeight="1">
      <c r="A90" s="1001" t="s">
        <v>903</v>
      </c>
      <c r="B90" s="1002"/>
      <c r="C90" s="1002"/>
      <c r="D90" s="1002"/>
      <c r="E90" s="1002"/>
      <c r="F90" s="1002"/>
      <c r="G90" s="1002"/>
      <c r="H90" s="1002"/>
      <c r="I90" s="1002"/>
      <c r="J90" s="1002"/>
      <c r="K90" s="1003"/>
      <c r="L90" s="204"/>
      <c r="M90" s="58"/>
      <c r="N90" s="62"/>
      <c r="O90" s="50"/>
    </row>
    <row r="91" spans="1:15" ht="150.94999999999999" customHeight="1">
      <c r="A91" s="252" t="s">
        <v>904</v>
      </c>
      <c r="B91" s="23" t="s">
        <v>275</v>
      </c>
      <c r="C91" s="21" t="s">
        <v>895</v>
      </c>
      <c r="D91" s="23" t="s">
        <v>905</v>
      </c>
      <c r="E91" s="21" t="s">
        <v>906</v>
      </c>
      <c r="F91" s="253" t="s">
        <v>136</v>
      </c>
      <c r="G91" s="253" t="s">
        <v>136</v>
      </c>
      <c r="H91" s="253" t="s">
        <v>136</v>
      </c>
      <c r="I91" s="18">
        <v>1</v>
      </c>
      <c r="J91" s="18">
        <v>2</v>
      </c>
      <c r="K91" s="51">
        <v>3</v>
      </c>
      <c r="L91" s="232"/>
      <c r="M91" s="48" t="s">
        <v>898</v>
      </c>
      <c r="N91" s="62" t="s">
        <v>907</v>
      </c>
      <c r="O91" s="233" t="s">
        <v>19</v>
      </c>
    </row>
    <row r="92" spans="1:15" ht="59.1" customHeight="1">
      <c r="A92" s="249" t="s">
        <v>3</v>
      </c>
      <c r="B92" s="1177" t="s">
        <v>908</v>
      </c>
      <c r="C92" s="1177"/>
      <c r="D92" s="1177"/>
      <c r="E92" s="1177"/>
      <c r="F92" s="1179"/>
      <c r="G92" s="1179"/>
      <c r="H92" s="1179"/>
      <c r="I92" s="1177"/>
      <c r="J92" s="1177"/>
      <c r="K92" s="1178"/>
      <c r="L92" s="281"/>
      <c r="M92" s="58"/>
      <c r="N92" s="49"/>
      <c r="O92" s="50"/>
    </row>
    <row r="93" spans="1:15" ht="56.45" customHeight="1">
      <c r="A93" s="1001" t="s">
        <v>909</v>
      </c>
      <c r="B93" s="1002"/>
      <c r="C93" s="1002"/>
      <c r="D93" s="1002"/>
      <c r="E93" s="1002"/>
      <c r="F93" s="1002"/>
      <c r="G93" s="1002"/>
      <c r="H93" s="1002"/>
      <c r="I93" s="1002"/>
      <c r="J93" s="1002"/>
      <c r="K93" s="1003"/>
      <c r="L93" s="204"/>
      <c r="M93" s="58"/>
      <c r="N93" s="49"/>
      <c r="O93" s="50"/>
    </row>
    <row r="94" spans="1:15" ht="79.5" customHeight="1">
      <c r="A94" s="26" t="s">
        <v>910</v>
      </c>
      <c r="B94" s="15" t="s">
        <v>262</v>
      </c>
      <c r="C94" s="15" t="s">
        <v>895</v>
      </c>
      <c r="D94" s="23" t="s">
        <v>896</v>
      </c>
      <c r="E94" s="23" t="s">
        <v>911</v>
      </c>
      <c r="F94" s="192">
        <v>1</v>
      </c>
      <c r="G94" s="192">
        <v>1</v>
      </c>
      <c r="H94" s="192">
        <v>1</v>
      </c>
      <c r="I94" s="192">
        <v>1</v>
      </c>
      <c r="J94" s="192" t="s">
        <v>136</v>
      </c>
      <c r="K94" s="283" t="s">
        <v>136</v>
      </c>
      <c r="L94" s="284"/>
      <c r="M94" s="285" t="s">
        <v>912</v>
      </c>
      <c r="N94" s="286" t="s">
        <v>284</v>
      </c>
      <c r="O94" s="233" t="s">
        <v>19</v>
      </c>
    </row>
    <row r="95" spans="1:15" ht="79.5" customHeight="1">
      <c r="A95" s="27"/>
      <c r="B95" s="189"/>
      <c r="C95" s="189"/>
      <c r="D95" s="191"/>
      <c r="E95" s="20" t="s">
        <v>913</v>
      </c>
      <c r="F95" s="192" t="s">
        <v>136</v>
      </c>
      <c r="G95" s="192" t="s">
        <v>136</v>
      </c>
      <c r="H95" s="192" t="s">
        <v>136</v>
      </c>
      <c r="I95" s="192">
        <v>1</v>
      </c>
      <c r="J95" s="192">
        <v>1</v>
      </c>
      <c r="K95" s="192">
        <v>1</v>
      </c>
      <c r="L95" s="287"/>
      <c r="M95" s="285" t="s">
        <v>898</v>
      </c>
      <c r="N95" s="286" t="s">
        <v>290</v>
      </c>
      <c r="O95" s="233" t="s">
        <v>19</v>
      </c>
    </row>
    <row r="96" spans="1:15" ht="79.5" customHeight="1">
      <c r="A96" s="27"/>
      <c r="B96" s="191"/>
      <c r="C96" s="254"/>
      <c r="D96" s="191"/>
      <c r="E96" s="15" t="s">
        <v>914</v>
      </c>
      <c r="F96" s="244" t="s">
        <v>34</v>
      </c>
      <c r="G96" s="244">
        <v>2</v>
      </c>
      <c r="H96" s="244">
        <v>4</v>
      </c>
      <c r="I96" s="244">
        <v>6</v>
      </c>
      <c r="J96" s="244">
        <v>8</v>
      </c>
      <c r="K96" s="271">
        <v>10</v>
      </c>
      <c r="L96" s="272"/>
      <c r="M96" s="285" t="s">
        <v>898</v>
      </c>
      <c r="N96" s="286" t="s">
        <v>280</v>
      </c>
      <c r="O96" s="288" t="s">
        <v>19</v>
      </c>
    </row>
    <row r="97" spans="1:15" ht="30.75" customHeight="1">
      <c r="A97" s="1181" t="s">
        <v>293</v>
      </c>
      <c r="B97" s="1151" t="s">
        <v>915</v>
      </c>
      <c r="C97" s="1151"/>
      <c r="D97" s="1151"/>
      <c r="E97" s="1151"/>
      <c r="F97" s="1151"/>
      <c r="G97" s="1151"/>
      <c r="H97" s="1151"/>
      <c r="I97" s="1151"/>
      <c r="J97" s="1151"/>
      <c r="K97" s="1152"/>
      <c r="L97" s="289"/>
      <c r="M97" s="817" t="s">
        <v>0</v>
      </c>
      <c r="N97" s="818"/>
      <c r="O97" s="819"/>
    </row>
    <row r="98" spans="1:15" ht="30.75" customHeight="1">
      <c r="A98" s="1182"/>
      <c r="B98" s="1153"/>
      <c r="C98" s="1153"/>
      <c r="D98" s="1153"/>
      <c r="E98" s="1153"/>
      <c r="F98" s="1153"/>
      <c r="G98" s="1153"/>
      <c r="H98" s="1153"/>
      <c r="I98" s="1153"/>
      <c r="J98" s="1153"/>
      <c r="K98" s="1154"/>
      <c r="L98" s="291"/>
      <c r="M98" s="820"/>
      <c r="N98" s="809"/>
      <c r="O98" s="821"/>
    </row>
    <row r="99" spans="1:15" ht="30.75" customHeight="1">
      <c r="A99" s="255" t="s">
        <v>3</v>
      </c>
      <c r="B99" s="1153" t="s">
        <v>916</v>
      </c>
      <c r="C99" s="1153"/>
      <c r="D99" s="1153"/>
      <c r="E99" s="1153"/>
      <c r="F99" s="1153"/>
      <c r="G99" s="1153"/>
      <c r="H99" s="1153"/>
      <c r="I99" s="1153"/>
      <c r="J99" s="1153"/>
      <c r="K99" s="1154"/>
      <c r="L99" s="291"/>
      <c r="M99" s="820"/>
      <c r="N99" s="809"/>
      <c r="O99" s="821"/>
    </row>
    <row r="100" spans="1:15" s="86" customFormat="1" ht="30.75" customHeight="1">
      <c r="A100" s="1182" t="s">
        <v>8</v>
      </c>
      <c r="B100" s="1153" t="s">
        <v>9</v>
      </c>
      <c r="C100" s="1153" t="s">
        <v>166</v>
      </c>
      <c r="D100" s="1153" t="s">
        <v>11</v>
      </c>
      <c r="E100" s="1153" t="s">
        <v>719</v>
      </c>
      <c r="F100" s="1153" t="s">
        <v>14</v>
      </c>
      <c r="G100" s="1153"/>
      <c r="H100" s="1153"/>
      <c r="I100" s="1153"/>
      <c r="J100" s="1153"/>
      <c r="K100" s="1154"/>
      <c r="L100" s="291"/>
      <c r="M100" s="851" t="s">
        <v>5</v>
      </c>
      <c r="N100" s="920" t="s">
        <v>6</v>
      </c>
      <c r="O100" s="844" t="s">
        <v>7</v>
      </c>
    </row>
    <row r="101" spans="1:15" s="86" customFormat="1" ht="30.75" customHeight="1">
      <c r="A101" s="1182"/>
      <c r="B101" s="1153"/>
      <c r="C101" s="1153"/>
      <c r="D101" s="1153"/>
      <c r="E101" s="1153"/>
      <c r="F101" s="256">
        <v>65</v>
      </c>
      <c r="G101" s="256">
        <v>66</v>
      </c>
      <c r="H101" s="256">
        <v>67</v>
      </c>
      <c r="I101" s="256">
        <v>68</v>
      </c>
      <c r="J101" s="256">
        <v>69</v>
      </c>
      <c r="K101" s="290">
        <v>70</v>
      </c>
      <c r="L101" s="291"/>
      <c r="M101" s="851"/>
      <c r="N101" s="920"/>
      <c r="O101" s="844"/>
    </row>
    <row r="102" spans="1:15" s="86" customFormat="1" ht="36" customHeight="1">
      <c r="A102" s="1180" t="s">
        <v>917</v>
      </c>
      <c r="B102" s="1002"/>
      <c r="C102" s="1002"/>
      <c r="D102" s="1002"/>
      <c r="E102" s="1002"/>
      <c r="F102" s="1002"/>
      <c r="G102" s="1002"/>
      <c r="H102" s="1002"/>
      <c r="I102" s="1002"/>
      <c r="J102" s="1002"/>
      <c r="K102" s="1167"/>
      <c r="L102" s="204"/>
      <c r="M102" s="231">
        <f>4+1+3+4+2+2+3</f>
        <v>19</v>
      </c>
      <c r="N102" s="49"/>
      <c r="O102" s="50"/>
    </row>
    <row r="103" spans="1:15" s="86" customFormat="1" ht="155.25" customHeight="1">
      <c r="A103" s="1159" t="s">
        <v>918</v>
      </c>
      <c r="B103" s="882" t="s">
        <v>375</v>
      </c>
      <c r="C103" s="882" t="s">
        <v>919</v>
      </c>
      <c r="D103" s="1045" t="s">
        <v>920</v>
      </c>
      <c r="E103" s="17" t="s">
        <v>921</v>
      </c>
      <c r="F103" s="18" t="s">
        <v>34</v>
      </c>
      <c r="G103" s="18" t="s">
        <v>34</v>
      </c>
      <c r="H103" s="18" t="s">
        <v>34</v>
      </c>
      <c r="I103" s="45">
        <v>60</v>
      </c>
      <c r="J103" s="45">
        <v>70</v>
      </c>
      <c r="K103" s="292">
        <v>80</v>
      </c>
      <c r="L103" s="293"/>
      <c r="M103" s="48" t="s">
        <v>922</v>
      </c>
      <c r="N103" s="49"/>
      <c r="O103" s="50" t="s">
        <v>19</v>
      </c>
    </row>
    <row r="104" spans="1:15" s="86" customFormat="1" ht="120" customHeight="1">
      <c r="A104" s="1160"/>
      <c r="B104" s="884"/>
      <c r="C104" s="884"/>
      <c r="D104" s="1046"/>
      <c r="E104" s="21" t="s">
        <v>923</v>
      </c>
      <c r="F104" s="18" t="s">
        <v>34</v>
      </c>
      <c r="G104" s="18" t="s">
        <v>34</v>
      </c>
      <c r="H104" s="18" t="s">
        <v>34</v>
      </c>
      <c r="I104" s="18">
        <v>40</v>
      </c>
      <c r="J104" s="18">
        <v>60</v>
      </c>
      <c r="K104" s="294">
        <v>80</v>
      </c>
      <c r="L104" s="232"/>
      <c r="M104" s="48" t="s">
        <v>924</v>
      </c>
      <c r="N104" s="49"/>
      <c r="O104" s="50" t="s">
        <v>19</v>
      </c>
    </row>
    <row r="105" spans="1:15" s="86" customFormat="1" ht="168" customHeight="1">
      <c r="A105" s="22" t="s">
        <v>925</v>
      </c>
      <c r="B105" s="21" t="s">
        <v>375</v>
      </c>
      <c r="C105" s="21" t="s">
        <v>919</v>
      </c>
      <c r="D105" s="23" t="s">
        <v>926</v>
      </c>
      <c r="E105" s="17" t="s">
        <v>927</v>
      </c>
      <c r="F105" s="18" t="s">
        <v>34</v>
      </c>
      <c r="G105" s="18" t="s">
        <v>34</v>
      </c>
      <c r="H105" s="18" t="s">
        <v>34</v>
      </c>
      <c r="I105" s="45">
        <v>3</v>
      </c>
      <c r="J105" s="45">
        <v>10</v>
      </c>
      <c r="K105" s="292">
        <v>15</v>
      </c>
      <c r="L105" s="293"/>
      <c r="M105" s="48" t="s">
        <v>924</v>
      </c>
      <c r="N105" s="49"/>
      <c r="O105" s="50" t="s">
        <v>19</v>
      </c>
    </row>
    <row r="106" spans="1:15" s="86" customFormat="1" ht="31.5" customHeight="1">
      <c r="A106" s="1196" t="s">
        <v>928</v>
      </c>
      <c r="B106" s="1197"/>
      <c r="C106" s="1197"/>
      <c r="D106" s="1197"/>
      <c r="E106" s="1197"/>
      <c r="F106" s="1197"/>
      <c r="G106" s="1197"/>
      <c r="H106" s="1197"/>
      <c r="I106" s="1197"/>
      <c r="J106" s="1197"/>
      <c r="K106" s="1198"/>
      <c r="L106" s="295"/>
      <c r="M106" s="48"/>
      <c r="N106" s="49"/>
      <c r="O106" s="50"/>
    </row>
    <row r="107" spans="1:15" s="86" customFormat="1" ht="207" customHeight="1">
      <c r="A107" s="24" t="s">
        <v>929</v>
      </c>
      <c r="B107" s="21" t="s">
        <v>375</v>
      </c>
      <c r="C107" s="21" t="s">
        <v>919</v>
      </c>
      <c r="D107" s="23" t="s">
        <v>930</v>
      </c>
      <c r="E107" s="23" t="s">
        <v>931</v>
      </c>
      <c r="F107" s="18" t="s">
        <v>136</v>
      </c>
      <c r="G107" s="18" t="s">
        <v>136</v>
      </c>
      <c r="H107" s="18" t="s">
        <v>34</v>
      </c>
      <c r="I107" s="18">
        <v>3.5</v>
      </c>
      <c r="J107" s="18">
        <v>3.8</v>
      </c>
      <c r="K107" s="296">
        <v>4</v>
      </c>
      <c r="L107" s="297"/>
      <c r="M107" s="48" t="s">
        <v>932</v>
      </c>
      <c r="N107" s="49"/>
      <c r="O107" s="50" t="s">
        <v>19</v>
      </c>
    </row>
    <row r="108" spans="1:15" s="86" customFormat="1" ht="57" customHeight="1">
      <c r="A108" s="1199" t="s">
        <v>933</v>
      </c>
      <c r="B108" s="1200"/>
      <c r="C108" s="1200"/>
      <c r="D108" s="1200"/>
      <c r="E108" s="1200"/>
      <c r="F108" s="1200"/>
      <c r="G108" s="1200"/>
      <c r="H108" s="1200"/>
      <c r="I108" s="1200"/>
      <c r="J108" s="1200"/>
      <c r="K108" s="1201"/>
      <c r="L108" s="25"/>
      <c r="M108" s="48"/>
      <c r="N108" s="49"/>
      <c r="O108" s="50"/>
    </row>
    <row r="109" spans="1:15" s="86" customFormat="1" ht="339.75" customHeight="1">
      <c r="A109" s="891" t="s">
        <v>934</v>
      </c>
      <c r="B109" s="21" t="s">
        <v>375</v>
      </c>
      <c r="C109" s="21" t="s">
        <v>919</v>
      </c>
      <c r="D109" s="23" t="s">
        <v>935</v>
      </c>
      <c r="E109" s="21" t="s">
        <v>936</v>
      </c>
      <c r="F109" s="18" t="s">
        <v>34</v>
      </c>
      <c r="G109" s="18" t="s">
        <v>34</v>
      </c>
      <c r="H109" s="18" t="s">
        <v>34</v>
      </c>
      <c r="I109" s="45">
        <v>25</v>
      </c>
      <c r="J109" s="45">
        <v>50</v>
      </c>
      <c r="K109" s="292">
        <v>80</v>
      </c>
      <c r="L109" s="293"/>
      <c r="M109" s="48" t="s">
        <v>937</v>
      </c>
      <c r="N109" s="49"/>
      <c r="O109" s="50" t="s">
        <v>19</v>
      </c>
    </row>
    <row r="110" spans="1:15" s="86" customFormat="1" ht="136.5" customHeight="1">
      <c r="A110" s="892"/>
      <c r="B110" s="882" t="s">
        <v>938</v>
      </c>
      <c r="C110" s="1045" t="s">
        <v>939</v>
      </c>
      <c r="D110" s="23" t="s">
        <v>940</v>
      </c>
      <c r="E110" s="21" t="s">
        <v>941</v>
      </c>
      <c r="F110" s="18" t="s">
        <v>34</v>
      </c>
      <c r="G110" s="18" t="s">
        <v>34</v>
      </c>
      <c r="H110" s="18" t="s">
        <v>34</v>
      </c>
      <c r="I110" s="18">
        <v>50</v>
      </c>
      <c r="J110" s="18">
        <v>70</v>
      </c>
      <c r="K110" s="294">
        <v>100</v>
      </c>
      <c r="L110" s="232"/>
      <c r="M110" s="48" t="s">
        <v>937</v>
      </c>
      <c r="N110" s="49"/>
      <c r="O110" s="50" t="s">
        <v>19</v>
      </c>
    </row>
    <row r="111" spans="1:15" s="86" customFormat="1" ht="85.5" customHeight="1">
      <c r="A111" s="893"/>
      <c r="B111" s="884"/>
      <c r="C111" s="1046"/>
      <c r="D111" s="23" t="s">
        <v>942</v>
      </c>
      <c r="E111" s="29" t="s">
        <v>943</v>
      </c>
      <c r="F111" s="18" t="s">
        <v>34</v>
      </c>
      <c r="G111" s="18" t="s">
        <v>34</v>
      </c>
      <c r="H111" s="18" t="s">
        <v>34</v>
      </c>
      <c r="I111" s="18">
        <v>1</v>
      </c>
      <c r="J111" s="18">
        <v>1</v>
      </c>
      <c r="K111" s="294">
        <v>1</v>
      </c>
      <c r="L111" s="232"/>
      <c r="M111" s="48" t="s">
        <v>944</v>
      </c>
      <c r="N111" s="49"/>
      <c r="O111" s="50" t="s">
        <v>19</v>
      </c>
    </row>
    <row r="112" spans="1:15" s="86" customFormat="1" ht="59.25" customHeight="1">
      <c r="A112" s="30" t="s">
        <v>3</v>
      </c>
      <c r="B112" s="1175" t="s">
        <v>945</v>
      </c>
      <c r="C112" s="1175"/>
      <c r="D112" s="1175"/>
      <c r="E112" s="1175"/>
      <c r="F112" s="1175"/>
      <c r="G112" s="1175"/>
      <c r="H112" s="1175"/>
      <c r="I112" s="1175"/>
      <c r="J112" s="1175"/>
      <c r="K112" s="1176"/>
      <c r="L112" s="298"/>
      <c r="M112" s="58"/>
      <c r="N112" s="49"/>
      <c r="O112" s="50"/>
    </row>
    <row r="113" spans="1:15" s="86" customFormat="1" ht="60" customHeight="1">
      <c r="A113" s="1001" t="s">
        <v>946</v>
      </c>
      <c r="B113" s="1002"/>
      <c r="C113" s="1002"/>
      <c r="D113" s="1002"/>
      <c r="E113" s="1002"/>
      <c r="F113" s="1002"/>
      <c r="G113" s="1002"/>
      <c r="H113" s="1002"/>
      <c r="I113" s="1002"/>
      <c r="J113" s="1002"/>
      <c r="K113" s="1167"/>
      <c r="L113" s="204"/>
      <c r="M113" s="58"/>
      <c r="N113" s="49"/>
      <c r="O113" s="50"/>
    </row>
    <row r="114" spans="1:15" s="86" customFormat="1" ht="85.5" customHeight="1">
      <c r="A114" s="31" t="s">
        <v>947</v>
      </c>
      <c r="B114" s="1156" t="s">
        <v>948</v>
      </c>
      <c r="C114" s="1155" t="s">
        <v>949</v>
      </c>
      <c r="D114" s="32" t="s">
        <v>900</v>
      </c>
      <c r="E114" s="34" t="s">
        <v>950</v>
      </c>
      <c r="F114" s="35">
        <v>20</v>
      </c>
      <c r="G114" s="35">
        <v>40</v>
      </c>
      <c r="H114" s="35">
        <v>60</v>
      </c>
      <c r="I114" s="35">
        <v>80</v>
      </c>
      <c r="J114" s="35">
        <v>100</v>
      </c>
      <c r="K114" s="299" t="s">
        <v>335</v>
      </c>
      <c r="L114" s="300"/>
      <c r="M114" s="48" t="s">
        <v>951</v>
      </c>
      <c r="N114" s="62"/>
      <c r="O114" s="50" t="s">
        <v>19</v>
      </c>
    </row>
    <row r="115" spans="1:15" s="86" customFormat="1" ht="99" customHeight="1">
      <c r="A115" s="31" t="s">
        <v>952</v>
      </c>
      <c r="B115" s="1156"/>
      <c r="C115" s="1155"/>
      <c r="D115" s="32" t="s">
        <v>953</v>
      </c>
      <c r="E115" s="34" t="s">
        <v>954</v>
      </c>
      <c r="F115" s="18">
        <v>0</v>
      </c>
      <c r="G115" s="18">
        <v>20</v>
      </c>
      <c r="H115" s="18">
        <v>40</v>
      </c>
      <c r="I115" s="18">
        <v>60</v>
      </c>
      <c r="J115" s="18">
        <v>80</v>
      </c>
      <c r="K115" s="294">
        <v>100</v>
      </c>
      <c r="L115" s="232"/>
      <c r="M115" s="48" t="s">
        <v>955</v>
      </c>
      <c r="N115" s="62"/>
      <c r="O115" s="50" t="s">
        <v>19</v>
      </c>
    </row>
    <row r="116" spans="1:15" s="86" customFormat="1" ht="156" customHeight="1">
      <c r="A116" s="36" t="s">
        <v>956</v>
      </c>
      <c r="B116" s="33" t="s">
        <v>375</v>
      </c>
      <c r="C116" s="21" t="s">
        <v>919</v>
      </c>
      <c r="D116" s="33" t="s">
        <v>957</v>
      </c>
      <c r="E116" s="33" t="s">
        <v>958</v>
      </c>
      <c r="F116" s="35">
        <v>80</v>
      </c>
      <c r="G116" s="35">
        <v>80</v>
      </c>
      <c r="H116" s="35">
        <v>90</v>
      </c>
      <c r="I116" s="35">
        <v>90</v>
      </c>
      <c r="J116" s="35">
        <v>100</v>
      </c>
      <c r="K116" s="299">
        <v>100</v>
      </c>
      <c r="L116" s="300"/>
      <c r="M116" s="48" t="s">
        <v>959</v>
      </c>
      <c r="N116" s="62"/>
      <c r="O116" s="50" t="s">
        <v>19</v>
      </c>
    </row>
    <row r="117" spans="1:15" s="86" customFormat="1" ht="145.5" customHeight="1">
      <c r="A117" s="37" t="s">
        <v>960</v>
      </c>
      <c r="B117" s="33" t="s">
        <v>375</v>
      </c>
      <c r="C117" s="21" t="s">
        <v>919</v>
      </c>
      <c r="D117" s="33" t="s">
        <v>961</v>
      </c>
      <c r="E117" s="33" t="s">
        <v>962</v>
      </c>
      <c r="F117" s="35" t="s">
        <v>34</v>
      </c>
      <c r="G117" s="35" t="s">
        <v>34</v>
      </c>
      <c r="H117" s="35">
        <v>192</v>
      </c>
      <c r="I117" s="35">
        <v>200</v>
      </c>
      <c r="J117" s="35">
        <v>250</v>
      </c>
      <c r="K117" s="299">
        <v>300</v>
      </c>
      <c r="L117" s="301"/>
      <c r="M117" s="64" t="s">
        <v>963</v>
      </c>
      <c r="N117" s="62"/>
      <c r="O117" s="50" t="s">
        <v>19</v>
      </c>
    </row>
    <row r="118" spans="1:15" s="86" customFormat="1" ht="34.5" customHeight="1">
      <c r="A118" s="1180" t="s">
        <v>964</v>
      </c>
      <c r="B118" s="1183"/>
      <c r="C118" s="1183"/>
      <c r="D118" s="1183"/>
      <c r="E118" s="1183"/>
      <c r="F118" s="1183"/>
      <c r="G118" s="1183"/>
      <c r="H118" s="1183"/>
      <c r="I118" s="1183"/>
      <c r="J118" s="1183"/>
      <c r="K118" s="1184"/>
      <c r="L118" s="302"/>
      <c r="M118" s="58"/>
      <c r="N118" s="62"/>
      <c r="O118" s="50"/>
    </row>
    <row r="119" spans="1:15" s="86" customFormat="1" ht="192" customHeight="1">
      <c r="A119" s="37" t="s">
        <v>965</v>
      </c>
      <c r="B119" s="33" t="s">
        <v>375</v>
      </c>
      <c r="C119" s="21" t="s">
        <v>919</v>
      </c>
      <c r="D119" s="33" t="s">
        <v>966</v>
      </c>
      <c r="E119" s="33" t="s">
        <v>967</v>
      </c>
      <c r="F119" s="35" t="s">
        <v>34</v>
      </c>
      <c r="G119" s="35" t="s">
        <v>34</v>
      </c>
      <c r="H119" s="35" t="s">
        <v>34</v>
      </c>
      <c r="I119" s="35">
        <v>3</v>
      </c>
      <c r="J119" s="35">
        <v>5</v>
      </c>
      <c r="K119" s="299">
        <v>10</v>
      </c>
      <c r="L119" s="300"/>
      <c r="M119" s="48" t="s">
        <v>968</v>
      </c>
      <c r="N119" s="62"/>
      <c r="O119" s="50" t="s">
        <v>19</v>
      </c>
    </row>
    <row r="120" spans="1:15" s="86" customFormat="1" ht="185.25" customHeight="1">
      <c r="A120" s="37" t="s">
        <v>969</v>
      </c>
      <c r="B120" s="33" t="s">
        <v>375</v>
      </c>
      <c r="C120" s="21" t="s">
        <v>919</v>
      </c>
      <c r="D120" s="21" t="s">
        <v>970</v>
      </c>
      <c r="E120" s="33" t="s">
        <v>971</v>
      </c>
      <c r="F120" s="35" t="s">
        <v>34</v>
      </c>
      <c r="G120" s="35" t="s">
        <v>34</v>
      </c>
      <c r="H120" s="35" t="s">
        <v>34</v>
      </c>
      <c r="I120" s="35">
        <v>3</v>
      </c>
      <c r="J120" s="35">
        <v>5</v>
      </c>
      <c r="K120" s="299">
        <v>10</v>
      </c>
      <c r="L120" s="300"/>
      <c r="M120" s="48" t="s">
        <v>968</v>
      </c>
      <c r="N120" s="62"/>
      <c r="O120" s="50" t="s">
        <v>19</v>
      </c>
    </row>
    <row r="121" spans="1:15" s="86" customFormat="1" ht="33" customHeight="1">
      <c r="A121" s="1001" t="s">
        <v>379</v>
      </c>
      <c r="B121" s="1002"/>
      <c r="C121" s="1002"/>
      <c r="D121" s="1002"/>
      <c r="E121" s="1002"/>
      <c r="F121" s="1002"/>
      <c r="G121" s="1002"/>
      <c r="H121" s="1002"/>
      <c r="I121" s="1002"/>
      <c r="J121" s="1002"/>
      <c r="K121" s="1167"/>
      <c r="L121" s="204"/>
      <c r="M121" s="48"/>
      <c r="N121" s="62"/>
      <c r="O121" s="50"/>
    </row>
    <row r="122" spans="1:15" s="86" customFormat="1" ht="105" customHeight="1">
      <c r="A122" s="31" t="s">
        <v>972</v>
      </c>
      <c r="B122" s="1156" t="s">
        <v>873</v>
      </c>
      <c r="C122" s="1156" t="s">
        <v>949</v>
      </c>
      <c r="D122" s="1156" t="s">
        <v>973</v>
      </c>
      <c r="E122" s="33" t="s">
        <v>974</v>
      </c>
      <c r="F122" s="35" t="s">
        <v>34</v>
      </c>
      <c r="G122" s="35" t="s">
        <v>34</v>
      </c>
      <c r="H122" s="35" t="s">
        <v>34</v>
      </c>
      <c r="I122" s="35">
        <v>80</v>
      </c>
      <c r="J122" s="35">
        <v>82</v>
      </c>
      <c r="K122" s="299">
        <v>84</v>
      </c>
      <c r="L122" s="300"/>
      <c r="M122" s="48" t="s">
        <v>975</v>
      </c>
      <c r="N122" s="62"/>
      <c r="O122" s="50" t="s">
        <v>19</v>
      </c>
    </row>
    <row r="123" spans="1:15" s="86" customFormat="1" ht="161.25" customHeight="1">
      <c r="A123" s="31" t="s">
        <v>976</v>
      </c>
      <c r="B123" s="1156"/>
      <c r="C123" s="1156"/>
      <c r="D123" s="1156"/>
      <c r="E123" s="33" t="s">
        <v>977</v>
      </c>
      <c r="F123" s="35" t="s">
        <v>34</v>
      </c>
      <c r="G123" s="35" t="s">
        <v>34</v>
      </c>
      <c r="H123" s="35" t="s">
        <v>34</v>
      </c>
      <c r="I123" s="35">
        <v>80</v>
      </c>
      <c r="J123" s="35">
        <v>80</v>
      </c>
      <c r="K123" s="35">
        <v>80</v>
      </c>
      <c r="L123" s="303"/>
      <c r="M123" s="48" t="s">
        <v>978</v>
      </c>
      <c r="N123" s="62"/>
      <c r="O123" s="50" t="s">
        <v>19</v>
      </c>
    </row>
    <row r="124" spans="1:15" s="86" customFormat="1" ht="33.75" customHeight="1">
      <c r="A124" s="30" t="s">
        <v>3</v>
      </c>
      <c r="B124" s="1175" t="s">
        <v>411</v>
      </c>
      <c r="C124" s="1175"/>
      <c r="D124" s="1175"/>
      <c r="E124" s="1175"/>
      <c r="F124" s="1175"/>
      <c r="G124" s="1175"/>
      <c r="H124" s="1175"/>
      <c r="I124" s="1175"/>
      <c r="J124" s="1175"/>
      <c r="K124" s="1176"/>
      <c r="L124" s="298"/>
      <c r="M124" s="58"/>
      <c r="N124" s="62"/>
      <c r="O124" s="50"/>
    </row>
    <row r="125" spans="1:15" s="86" customFormat="1" ht="54" customHeight="1">
      <c r="A125" s="1001" t="s">
        <v>979</v>
      </c>
      <c r="B125" s="1002"/>
      <c r="C125" s="1002"/>
      <c r="D125" s="1002"/>
      <c r="E125" s="1002"/>
      <c r="F125" s="1002"/>
      <c r="G125" s="1002"/>
      <c r="H125" s="1002"/>
      <c r="I125" s="1002"/>
      <c r="J125" s="1002"/>
      <c r="K125" s="1167"/>
      <c r="L125" s="204"/>
      <c r="M125" s="58"/>
      <c r="N125" s="62"/>
      <c r="O125" s="50"/>
    </row>
    <row r="126" spans="1:15" s="86" customFormat="1" ht="215.25" customHeight="1">
      <c r="A126" s="1161" t="s">
        <v>980</v>
      </c>
      <c r="B126" s="866" t="s">
        <v>981</v>
      </c>
      <c r="C126" s="21" t="s">
        <v>895</v>
      </c>
      <c r="D126" s="23" t="s">
        <v>429</v>
      </c>
      <c r="E126" s="34" t="s">
        <v>982</v>
      </c>
      <c r="F126" s="35">
        <v>1</v>
      </c>
      <c r="G126" s="35">
        <v>3</v>
      </c>
      <c r="H126" s="35">
        <v>3</v>
      </c>
      <c r="I126" s="35">
        <v>3</v>
      </c>
      <c r="J126" s="35">
        <v>3</v>
      </c>
      <c r="K126" s="299">
        <v>3</v>
      </c>
      <c r="L126" s="300"/>
      <c r="M126" s="48" t="s">
        <v>983</v>
      </c>
      <c r="N126" s="62"/>
      <c r="O126" s="50" t="s">
        <v>19</v>
      </c>
    </row>
    <row r="127" spans="1:15" s="86" customFormat="1" ht="94.5" customHeight="1">
      <c r="A127" s="1162"/>
      <c r="B127" s="867"/>
      <c r="C127" s="21" t="s">
        <v>984</v>
      </c>
      <c r="D127" s="23" t="s">
        <v>985</v>
      </c>
      <c r="E127" s="34" t="s">
        <v>986</v>
      </c>
      <c r="F127" s="35">
        <v>80</v>
      </c>
      <c r="G127" s="35">
        <v>82</v>
      </c>
      <c r="H127" s="35">
        <v>85</v>
      </c>
      <c r="I127" s="35">
        <v>86</v>
      </c>
      <c r="J127" s="35">
        <v>87</v>
      </c>
      <c r="K127" s="299">
        <v>88</v>
      </c>
      <c r="L127" s="300"/>
      <c r="M127" s="48" t="s">
        <v>987</v>
      </c>
      <c r="N127" s="62"/>
      <c r="O127" s="50" t="s">
        <v>19</v>
      </c>
    </row>
    <row r="128" spans="1:15" s="86" customFormat="1" ht="276.75" customHeight="1">
      <c r="A128" s="1163" t="s">
        <v>988</v>
      </c>
      <c r="B128" s="1155" t="s">
        <v>938</v>
      </c>
      <c r="C128" s="33" t="s">
        <v>984</v>
      </c>
      <c r="D128" s="32" t="s">
        <v>989</v>
      </c>
      <c r="E128" s="34" t="s">
        <v>990</v>
      </c>
      <c r="F128" s="65">
        <v>10</v>
      </c>
      <c r="G128" s="65">
        <v>10</v>
      </c>
      <c r="H128" s="65">
        <v>10</v>
      </c>
      <c r="I128" s="65">
        <v>10</v>
      </c>
      <c r="J128" s="65">
        <v>10</v>
      </c>
      <c r="K128" s="304">
        <v>10</v>
      </c>
      <c r="L128" s="305"/>
      <c r="M128" s="48" t="s">
        <v>983</v>
      </c>
      <c r="N128" s="62"/>
      <c r="O128" s="50" t="s">
        <v>19</v>
      </c>
    </row>
    <row r="129" spans="1:15" s="86" customFormat="1" ht="147.75" customHeight="1">
      <c r="A129" s="1163"/>
      <c r="B129" s="1155"/>
      <c r="C129" s="34" t="s">
        <v>991</v>
      </c>
      <c r="D129" s="32" t="s">
        <v>992</v>
      </c>
      <c r="E129" s="34"/>
      <c r="F129" s="65"/>
      <c r="G129" s="65"/>
      <c r="H129" s="65"/>
      <c r="I129" s="65"/>
      <c r="J129" s="65"/>
      <c r="K129" s="304"/>
      <c r="L129" s="305"/>
      <c r="M129" s="48"/>
      <c r="N129" s="62"/>
      <c r="O129" s="50"/>
    </row>
    <row r="130" spans="1:15" s="86" customFormat="1" ht="174" customHeight="1">
      <c r="A130" s="1164"/>
      <c r="B130" s="66" t="s">
        <v>817</v>
      </c>
      <c r="C130" s="67" t="s">
        <v>993</v>
      </c>
      <c r="D130" s="68" t="s">
        <v>424</v>
      </c>
      <c r="E130" s="67"/>
      <c r="F130" s="69"/>
      <c r="G130" s="69"/>
      <c r="H130" s="69"/>
      <c r="I130" s="69"/>
      <c r="J130" s="69"/>
      <c r="K130" s="322"/>
      <c r="L130" s="323"/>
      <c r="M130" s="80"/>
      <c r="N130" s="81"/>
      <c r="O130" s="82"/>
    </row>
    <row r="131" spans="1:15" customFormat="1" ht="36" customHeight="1">
      <c r="A131" s="1165" t="s">
        <v>431</v>
      </c>
      <c r="B131" s="1147" t="s">
        <v>432</v>
      </c>
      <c r="C131" s="1147"/>
      <c r="D131" s="1147"/>
      <c r="E131" s="1147"/>
      <c r="F131" s="1147"/>
      <c r="G131" s="1147"/>
      <c r="H131" s="1147"/>
      <c r="I131" s="1147"/>
      <c r="J131" s="1147"/>
      <c r="K131" s="1148"/>
      <c r="L131" s="324"/>
      <c r="M131" s="1150" t="s">
        <v>0</v>
      </c>
      <c r="N131" s="818"/>
      <c r="O131" s="819"/>
    </row>
    <row r="132" spans="1:15" customFormat="1" ht="30" customHeight="1">
      <c r="A132" s="1166"/>
      <c r="B132" s="1128"/>
      <c r="C132" s="1128"/>
      <c r="D132" s="1128"/>
      <c r="E132" s="1128"/>
      <c r="F132" s="1128"/>
      <c r="G132" s="1128"/>
      <c r="H132" s="1128"/>
      <c r="I132" s="1128"/>
      <c r="J132" s="1128"/>
      <c r="K132" s="1149"/>
      <c r="L132" s="326"/>
      <c r="M132" s="808"/>
      <c r="N132" s="809"/>
      <c r="O132" s="821"/>
    </row>
    <row r="133" spans="1:15" customFormat="1" ht="57.75" customHeight="1">
      <c r="A133" s="306" t="s">
        <v>3</v>
      </c>
      <c r="B133" s="1168" t="s">
        <v>994</v>
      </c>
      <c r="C133" s="1168"/>
      <c r="D133" s="1168"/>
      <c r="E133" s="1168"/>
      <c r="F133" s="1168"/>
      <c r="G133" s="1168"/>
      <c r="H133" s="1168"/>
      <c r="I133" s="1168"/>
      <c r="J133" s="1168"/>
      <c r="K133" s="1169"/>
      <c r="L133" s="95"/>
      <c r="M133" s="808"/>
      <c r="N133" s="809"/>
      <c r="O133" s="821"/>
    </row>
    <row r="134" spans="1:15" customFormat="1">
      <c r="A134" s="1166" t="s">
        <v>8</v>
      </c>
      <c r="B134" s="1128" t="s">
        <v>9</v>
      </c>
      <c r="C134" s="1128" t="s">
        <v>166</v>
      </c>
      <c r="D134" s="1128" t="s">
        <v>11</v>
      </c>
      <c r="E134" s="1128" t="s">
        <v>719</v>
      </c>
      <c r="F134" s="1128" t="s">
        <v>14</v>
      </c>
      <c r="G134" s="1128"/>
      <c r="H134" s="1128"/>
      <c r="I134" s="1128"/>
      <c r="J134" s="1128"/>
      <c r="K134" s="1149"/>
      <c r="L134" s="326"/>
      <c r="M134" s="1157" t="s">
        <v>5</v>
      </c>
      <c r="N134" s="920" t="s">
        <v>6</v>
      </c>
      <c r="O134" s="844" t="s">
        <v>7</v>
      </c>
    </row>
    <row r="135" spans="1:15" customFormat="1">
      <c r="A135" s="1166"/>
      <c r="B135" s="1128"/>
      <c r="C135" s="1128"/>
      <c r="D135" s="1128"/>
      <c r="E135" s="1128"/>
      <c r="F135" s="96">
        <v>65</v>
      </c>
      <c r="G135" s="96">
        <v>66</v>
      </c>
      <c r="H135" s="96">
        <v>67</v>
      </c>
      <c r="I135" s="96">
        <v>68</v>
      </c>
      <c r="J135" s="96">
        <v>69</v>
      </c>
      <c r="K135" s="325">
        <v>70</v>
      </c>
      <c r="L135" s="326"/>
      <c r="M135" s="1157"/>
      <c r="N135" s="920"/>
      <c r="O135" s="844"/>
    </row>
    <row r="136" spans="1:15" customFormat="1" ht="96.95" customHeight="1">
      <c r="A136" s="1001" t="s">
        <v>995</v>
      </c>
      <c r="B136" s="1002"/>
      <c r="C136" s="1002"/>
      <c r="D136" s="1002"/>
      <c r="E136" s="1002"/>
      <c r="F136" s="1002"/>
      <c r="G136" s="1002"/>
      <c r="H136" s="1002"/>
      <c r="I136" s="1002"/>
      <c r="J136" s="1002"/>
      <c r="K136" s="1167"/>
      <c r="L136" s="204"/>
      <c r="M136" s="327">
        <f>5+3+5+1+2</f>
        <v>16</v>
      </c>
      <c r="N136" s="49"/>
      <c r="O136" s="328"/>
    </row>
    <row r="137" spans="1:15" customFormat="1" ht="54" customHeight="1">
      <c r="A137" s="1161" t="s">
        <v>996</v>
      </c>
      <c r="B137" s="1155" t="s">
        <v>997</v>
      </c>
      <c r="C137" s="866" t="s">
        <v>869</v>
      </c>
      <c r="D137" s="1170" t="s">
        <v>998</v>
      </c>
      <c r="E137" s="307" t="s">
        <v>999</v>
      </c>
      <c r="F137" s="100" t="s">
        <v>34</v>
      </c>
      <c r="G137" s="100" t="s">
        <v>34</v>
      </c>
      <c r="H137" s="100" t="s">
        <v>34</v>
      </c>
      <c r="I137" s="100" t="s">
        <v>440</v>
      </c>
      <c r="J137" s="100" t="s">
        <v>440</v>
      </c>
      <c r="K137" s="329" t="s">
        <v>440</v>
      </c>
      <c r="L137" s="330"/>
      <c r="M137" s="331"/>
      <c r="N137" s="62" t="s">
        <v>435</v>
      </c>
      <c r="O137" s="50" t="s">
        <v>19</v>
      </c>
    </row>
    <row r="138" spans="1:15" customFormat="1" ht="52.5">
      <c r="A138" s="837"/>
      <c r="B138" s="1155"/>
      <c r="C138" s="868"/>
      <c r="D138" s="1171"/>
      <c r="E138" s="308" t="s">
        <v>1000</v>
      </c>
      <c r="F138" s="104" t="s">
        <v>34</v>
      </c>
      <c r="G138" s="104" t="s">
        <v>34</v>
      </c>
      <c r="H138" s="104" t="s">
        <v>34</v>
      </c>
      <c r="I138" s="104" t="s">
        <v>457</v>
      </c>
      <c r="J138" s="104" t="s">
        <v>457</v>
      </c>
      <c r="K138" s="332" t="s">
        <v>457</v>
      </c>
      <c r="L138" s="333"/>
      <c r="M138" s="331"/>
      <c r="N138" s="62" t="s">
        <v>435</v>
      </c>
      <c r="O138" s="50" t="s">
        <v>19</v>
      </c>
    </row>
    <row r="139" spans="1:15" customFormat="1" ht="52.5">
      <c r="A139" s="837"/>
      <c r="B139" s="1155"/>
      <c r="C139" s="868"/>
      <c r="D139" s="1171"/>
      <c r="E139" s="308" t="s">
        <v>1001</v>
      </c>
      <c r="F139" s="104" t="s">
        <v>34</v>
      </c>
      <c r="G139" s="104" t="s">
        <v>34</v>
      </c>
      <c r="H139" s="104" t="s">
        <v>34</v>
      </c>
      <c r="I139" s="104" t="s">
        <v>1002</v>
      </c>
      <c r="J139" s="104" t="s">
        <v>1002</v>
      </c>
      <c r="K139" s="332" t="s">
        <v>1002</v>
      </c>
      <c r="L139" s="333"/>
      <c r="M139" s="331"/>
      <c r="N139" s="62" t="s">
        <v>435</v>
      </c>
      <c r="O139" s="50" t="s">
        <v>19</v>
      </c>
    </row>
    <row r="140" spans="1:15" customFormat="1" ht="52.5">
      <c r="A140" s="837"/>
      <c r="B140" s="1155"/>
      <c r="C140" s="868"/>
      <c r="D140" s="1171"/>
      <c r="E140" s="308" t="s">
        <v>1003</v>
      </c>
      <c r="F140" s="104" t="s">
        <v>34</v>
      </c>
      <c r="G140" s="104" t="s">
        <v>34</v>
      </c>
      <c r="H140" s="104" t="s">
        <v>34</v>
      </c>
      <c r="I140" s="104" t="s">
        <v>457</v>
      </c>
      <c r="J140" s="104" t="s">
        <v>457</v>
      </c>
      <c r="K140" s="332" t="s">
        <v>457</v>
      </c>
      <c r="L140" s="333"/>
      <c r="M140" s="331"/>
      <c r="N140" s="62" t="s">
        <v>435</v>
      </c>
      <c r="O140" s="50" t="s">
        <v>19</v>
      </c>
    </row>
    <row r="141" spans="1:15" customFormat="1" ht="65.25" customHeight="1">
      <c r="A141" s="1162"/>
      <c r="B141" s="1155"/>
      <c r="C141" s="867"/>
      <c r="D141" s="1172"/>
      <c r="E141" s="307" t="s">
        <v>1004</v>
      </c>
      <c r="F141" s="100" t="s">
        <v>34</v>
      </c>
      <c r="G141" s="100" t="s">
        <v>34</v>
      </c>
      <c r="H141" s="100" t="s">
        <v>34</v>
      </c>
      <c r="I141" s="45" t="s">
        <v>454</v>
      </c>
      <c r="J141" s="45" t="s">
        <v>454</v>
      </c>
      <c r="K141" s="292" t="s">
        <v>454</v>
      </c>
      <c r="L141" s="293"/>
      <c r="M141" s="331"/>
      <c r="N141" s="62" t="s">
        <v>435</v>
      </c>
      <c r="O141" s="50" t="s">
        <v>19</v>
      </c>
    </row>
    <row r="142" spans="1:15" customFormat="1" ht="93" customHeight="1">
      <c r="A142" s="1001" t="s">
        <v>1005</v>
      </c>
      <c r="B142" s="1002"/>
      <c r="C142" s="1002"/>
      <c r="D142" s="1002"/>
      <c r="E142" s="1002"/>
      <c r="F142" s="1002"/>
      <c r="G142" s="1002"/>
      <c r="H142" s="1002"/>
      <c r="I142" s="1002"/>
      <c r="J142" s="1002"/>
      <c r="K142" s="1167"/>
      <c r="L142" s="204"/>
      <c r="M142" s="334"/>
      <c r="N142" s="62"/>
      <c r="O142" s="328"/>
    </row>
    <row r="143" spans="1:15" customFormat="1" ht="131.25" customHeight="1">
      <c r="A143" s="309" t="s">
        <v>1006</v>
      </c>
      <c r="B143" s="34" t="s">
        <v>997</v>
      </c>
      <c r="C143" s="21" t="s">
        <v>1007</v>
      </c>
      <c r="D143" s="21" t="s">
        <v>1008</v>
      </c>
      <c r="E143" s="1173" t="s">
        <v>1009</v>
      </c>
      <c r="F143" s="110" t="s">
        <v>464</v>
      </c>
      <c r="G143" s="111" t="s">
        <v>454</v>
      </c>
      <c r="H143" s="111" t="s">
        <v>454</v>
      </c>
      <c r="I143" s="111" t="s">
        <v>454</v>
      </c>
      <c r="J143" s="111" t="s">
        <v>454</v>
      </c>
      <c r="K143" s="335" t="s">
        <v>454</v>
      </c>
      <c r="L143" s="336"/>
      <c r="M143" s="331"/>
      <c r="N143" s="62" t="s">
        <v>459</v>
      </c>
      <c r="O143" s="50" t="s">
        <v>19</v>
      </c>
    </row>
    <row r="144" spans="1:15" customFormat="1" ht="105.6" customHeight="1">
      <c r="A144" s="37" t="s">
        <v>1010</v>
      </c>
      <c r="B144" s="34"/>
      <c r="C144" s="21"/>
      <c r="D144" s="21"/>
      <c r="E144" s="1173"/>
      <c r="F144" s="104"/>
      <c r="G144" s="165"/>
      <c r="H144" s="165"/>
      <c r="I144" s="165"/>
      <c r="J144" s="165"/>
      <c r="K144" s="337"/>
      <c r="L144" s="338"/>
      <c r="M144" s="331"/>
      <c r="N144" s="62"/>
      <c r="O144" s="328"/>
    </row>
    <row r="145" spans="1:15" customFormat="1" ht="105" customHeight="1">
      <c r="A145" s="310" t="s">
        <v>1011</v>
      </c>
      <c r="B145" s="34"/>
      <c r="C145" s="21"/>
      <c r="D145" s="21"/>
      <c r="E145" s="121" t="s">
        <v>1012</v>
      </c>
      <c r="F145" s="104" t="s">
        <v>34</v>
      </c>
      <c r="G145" s="104" t="s">
        <v>34</v>
      </c>
      <c r="H145" s="104" t="s">
        <v>34</v>
      </c>
      <c r="I145" s="165" t="s">
        <v>476</v>
      </c>
      <c r="J145" s="165" t="s">
        <v>476</v>
      </c>
      <c r="K145" s="337" t="s">
        <v>476</v>
      </c>
      <c r="L145" s="338"/>
      <c r="M145" s="331"/>
      <c r="N145" s="62" t="s">
        <v>468</v>
      </c>
      <c r="O145" s="50" t="s">
        <v>19</v>
      </c>
    </row>
    <row r="146" spans="1:15" customFormat="1" ht="288.75">
      <c r="A146" s="309" t="s">
        <v>1013</v>
      </c>
      <c r="B146" s="33"/>
      <c r="C146" s="33"/>
      <c r="D146" s="33"/>
      <c r="E146" s="311" t="s">
        <v>1014</v>
      </c>
      <c r="F146" s="110" t="s">
        <v>34</v>
      </c>
      <c r="G146" s="110" t="s">
        <v>34</v>
      </c>
      <c r="H146" s="110" t="s">
        <v>34</v>
      </c>
      <c r="I146" s="110" t="s">
        <v>449</v>
      </c>
      <c r="J146" s="110" t="s">
        <v>449</v>
      </c>
      <c r="K146" s="339" t="s">
        <v>449</v>
      </c>
      <c r="L146" s="340"/>
      <c r="M146" s="331"/>
      <c r="N146" s="62" t="s">
        <v>479</v>
      </c>
      <c r="O146" s="50" t="s">
        <v>19</v>
      </c>
    </row>
    <row r="147" spans="1:15" customFormat="1" ht="64.5" customHeight="1">
      <c r="A147" s="306" t="s">
        <v>3</v>
      </c>
      <c r="B147" s="1168" t="s">
        <v>1015</v>
      </c>
      <c r="C147" s="1168"/>
      <c r="D147" s="1168"/>
      <c r="E147" s="1168"/>
      <c r="F147" s="1168"/>
      <c r="G147" s="1168"/>
      <c r="H147" s="1168"/>
      <c r="I147" s="1168"/>
      <c r="J147" s="1168"/>
      <c r="K147" s="1169"/>
      <c r="L147" s="95"/>
      <c r="M147" s="334"/>
      <c r="N147" s="62"/>
      <c r="O147" s="328"/>
    </row>
    <row r="148" spans="1:15" customFormat="1" ht="63.6" customHeight="1">
      <c r="A148" s="1001" t="s">
        <v>1016</v>
      </c>
      <c r="B148" s="1002"/>
      <c r="C148" s="1002"/>
      <c r="D148" s="1002"/>
      <c r="E148" s="1002"/>
      <c r="F148" s="1002"/>
      <c r="G148" s="1002"/>
      <c r="H148" s="1002"/>
      <c r="I148" s="1002"/>
      <c r="J148" s="1002"/>
      <c r="K148" s="1167"/>
      <c r="L148" s="204"/>
      <c r="M148" s="334"/>
      <c r="N148" s="62"/>
      <c r="O148" s="328"/>
    </row>
    <row r="149" spans="1:15" customFormat="1" ht="116.25" customHeight="1">
      <c r="A149" s="309" t="s">
        <v>1017</v>
      </c>
      <c r="B149" s="1155" t="s">
        <v>997</v>
      </c>
      <c r="C149" s="1155" t="s">
        <v>869</v>
      </c>
      <c r="D149" s="1155" t="s">
        <v>1018</v>
      </c>
      <c r="E149" s="312" t="s">
        <v>1019</v>
      </c>
      <c r="F149" s="313"/>
      <c r="G149" s="313"/>
      <c r="H149" s="312"/>
      <c r="I149" s="100" t="s">
        <v>457</v>
      </c>
      <c r="J149" s="100" t="s">
        <v>457</v>
      </c>
      <c r="K149" s="329" t="s">
        <v>457</v>
      </c>
      <c r="L149" s="330"/>
      <c r="M149" s="331"/>
      <c r="N149" s="62" t="s">
        <v>479</v>
      </c>
      <c r="O149" s="50" t="s">
        <v>19</v>
      </c>
    </row>
    <row r="150" spans="1:15" customFormat="1" ht="104.25" customHeight="1">
      <c r="A150" s="309" t="s">
        <v>1020</v>
      </c>
      <c r="B150" s="1155"/>
      <c r="C150" s="1155"/>
      <c r="D150" s="1155"/>
      <c r="E150" s="312" t="s">
        <v>1021</v>
      </c>
      <c r="F150" s="313"/>
      <c r="G150" s="313"/>
      <c r="H150" s="312"/>
      <c r="I150" s="100" t="s">
        <v>441</v>
      </c>
      <c r="J150" s="100" t="s">
        <v>441</v>
      </c>
      <c r="K150" s="329" t="s">
        <v>441</v>
      </c>
      <c r="L150" s="330"/>
      <c r="M150" s="331"/>
      <c r="N150" s="62" t="s">
        <v>479</v>
      </c>
      <c r="O150" s="50" t="s">
        <v>19</v>
      </c>
    </row>
    <row r="151" spans="1:15" customFormat="1" ht="105">
      <c r="A151" s="314" t="s">
        <v>1006</v>
      </c>
      <c r="B151" s="121" t="s">
        <v>997</v>
      </c>
      <c r="C151" s="123" t="s">
        <v>1022</v>
      </c>
      <c r="D151" s="123" t="s">
        <v>1008</v>
      </c>
      <c r="E151" s="121" t="s">
        <v>1023</v>
      </c>
      <c r="F151" s="35" t="s">
        <v>464</v>
      </c>
      <c r="G151" s="18" t="s">
        <v>454</v>
      </c>
      <c r="H151" s="18" t="s">
        <v>454</v>
      </c>
      <c r="I151" s="165" t="s">
        <v>454</v>
      </c>
      <c r="J151" s="165" t="s">
        <v>454</v>
      </c>
      <c r="K151" s="337" t="s">
        <v>454</v>
      </c>
      <c r="L151" s="338"/>
      <c r="M151" s="341"/>
      <c r="N151" s="170" t="s">
        <v>1024</v>
      </c>
      <c r="O151" s="50" t="s">
        <v>19</v>
      </c>
    </row>
    <row r="152" spans="1:15" customFormat="1" ht="78.75">
      <c r="A152" s="310" t="s">
        <v>1025</v>
      </c>
      <c r="B152" s="121"/>
      <c r="C152" s="123"/>
      <c r="D152" s="123"/>
      <c r="E152" s="315" t="s">
        <v>1026</v>
      </c>
      <c r="F152" s="104"/>
      <c r="G152" s="165"/>
      <c r="H152" s="165"/>
      <c r="I152" s="165" t="s">
        <v>476</v>
      </c>
      <c r="J152" s="165" t="s">
        <v>476</v>
      </c>
      <c r="K152" s="337" t="s">
        <v>476</v>
      </c>
      <c r="L152" s="338"/>
      <c r="M152" s="341"/>
      <c r="N152" s="173" t="s">
        <v>1024</v>
      </c>
      <c r="O152" s="50" t="s">
        <v>19</v>
      </c>
    </row>
    <row r="153" spans="1:15" customFormat="1" ht="75" customHeight="1">
      <c r="A153" s="310" t="s">
        <v>1027</v>
      </c>
      <c r="B153" s="121"/>
      <c r="C153" s="123"/>
      <c r="D153" s="123"/>
      <c r="E153" s="315" t="s">
        <v>1028</v>
      </c>
      <c r="F153" s="104"/>
      <c r="G153" s="165"/>
      <c r="H153" s="165"/>
      <c r="I153" s="165" t="s">
        <v>454</v>
      </c>
      <c r="J153" s="165" t="s">
        <v>454</v>
      </c>
      <c r="K153" s="337" t="s">
        <v>454</v>
      </c>
      <c r="L153" s="338"/>
      <c r="M153" s="341"/>
      <c r="N153" s="173" t="s">
        <v>1024</v>
      </c>
      <c r="O153" s="50" t="s">
        <v>19</v>
      </c>
    </row>
    <row r="154" spans="1:15" customFormat="1" ht="39.6" customHeight="1">
      <c r="A154" s="1180" t="s">
        <v>489</v>
      </c>
      <c r="B154" s="1183"/>
      <c r="C154" s="1183"/>
      <c r="D154" s="1183"/>
      <c r="E154" s="1183"/>
      <c r="F154" s="1183"/>
      <c r="G154" s="1183"/>
      <c r="H154" s="1183"/>
      <c r="I154" s="1183"/>
      <c r="J154" s="1183"/>
      <c r="K154" s="1184"/>
      <c r="L154" s="302"/>
      <c r="M154" s="334"/>
      <c r="N154" s="175"/>
      <c r="O154" s="328"/>
    </row>
    <row r="155" spans="1:15" s="88" customFormat="1" ht="68.25" customHeight="1">
      <c r="A155" s="316" t="s">
        <v>1029</v>
      </c>
      <c r="B155" s="130"/>
      <c r="C155" s="130"/>
      <c r="D155" s="130"/>
      <c r="E155" s="122" t="s">
        <v>1030</v>
      </c>
      <c r="F155" s="104"/>
      <c r="G155" s="104"/>
      <c r="H155" s="104"/>
      <c r="I155" s="165" t="s">
        <v>1031</v>
      </c>
      <c r="J155" s="165" t="s">
        <v>1031</v>
      </c>
      <c r="K155" s="337" t="s">
        <v>1031</v>
      </c>
      <c r="L155" s="338"/>
      <c r="M155" s="334"/>
      <c r="N155" s="173" t="s">
        <v>490</v>
      </c>
      <c r="O155" s="50" t="s">
        <v>19</v>
      </c>
    </row>
    <row r="156" spans="1:15" customFormat="1" ht="43.5" customHeight="1">
      <c r="A156" s="317" t="s">
        <v>3</v>
      </c>
      <c r="B156" s="1185" t="s">
        <v>1032</v>
      </c>
      <c r="C156" s="1168"/>
      <c r="D156" s="1168"/>
      <c r="E156" s="1168"/>
      <c r="F156" s="1168"/>
      <c r="G156" s="1168"/>
      <c r="H156" s="1168"/>
      <c r="I156" s="1168"/>
      <c r="J156" s="1168"/>
      <c r="K156" s="1169"/>
      <c r="L156" s="95"/>
      <c r="M156" s="334"/>
      <c r="N156" s="49"/>
      <c r="O156" s="328"/>
    </row>
    <row r="157" spans="1:15" customFormat="1" ht="39.6" customHeight="1">
      <c r="A157" s="1180" t="s">
        <v>496</v>
      </c>
      <c r="B157" s="1183"/>
      <c r="C157" s="1183"/>
      <c r="D157" s="1183"/>
      <c r="E157" s="1183"/>
      <c r="F157" s="1183"/>
      <c r="G157" s="1183"/>
      <c r="H157" s="1183"/>
      <c r="I157" s="1183"/>
      <c r="J157" s="1183"/>
      <c r="K157" s="1184"/>
      <c r="L157" s="302"/>
      <c r="M157" s="334"/>
      <c r="N157" s="49"/>
      <c r="O157" s="328"/>
    </row>
    <row r="158" spans="1:15" s="88" customFormat="1" ht="66.75" customHeight="1">
      <c r="A158" s="316" t="s">
        <v>1033</v>
      </c>
      <c r="B158" s="130"/>
      <c r="C158" s="130"/>
      <c r="D158" s="130"/>
      <c r="E158" s="121" t="s">
        <v>1034</v>
      </c>
      <c r="F158" s="104"/>
      <c r="G158" s="104"/>
      <c r="H158" s="104"/>
      <c r="I158" s="165" t="s">
        <v>464</v>
      </c>
      <c r="J158" s="165" t="s">
        <v>464</v>
      </c>
      <c r="K158" s="337" t="s">
        <v>464</v>
      </c>
      <c r="L158" s="338"/>
      <c r="M158" s="334"/>
      <c r="N158" s="49" t="s">
        <v>497</v>
      </c>
      <c r="O158" s="233" t="s">
        <v>19</v>
      </c>
    </row>
    <row r="159" spans="1:15" s="88" customFormat="1" ht="66.75" customHeight="1">
      <c r="A159" s="318" t="s">
        <v>1035</v>
      </c>
      <c r="B159" s="319"/>
      <c r="C159" s="319"/>
      <c r="D159" s="319"/>
      <c r="E159" s="320" t="s">
        <v>1036</v>
      </c>
      <c r="F159" s="321"/>
      <c r="G159" s="321"/>
      <c r="H159" s="321"/>
      <c r="I159" s="342" t="s">
        <v>1031</v>
      </c>
      <c r="J159" s="342" t="s">
        <v>1031</v>
      </c>
      <c r="K159" s="343" t="s">
        <v>1031</v>
      </c>
      <c r="L159" s="344"/>
      <c r="M159" s="345"/>
      <c r="N159" s="276" t="s">
        <v>497</v>
      </c>
      <c r="O159" s="346" t="s">
        <v>19</v>
      </c>
    </row>
  </sheetData>
  <mergeCells count="167">
    <mergeCell ref="B4:K4"/>
    <mergeCell ref="F5:K5"/>
    <mergeCell ref="A7:K7"/>
    <mergeCell ref="A22:K22"/>
    <mergeCell ref="B34:K34"/>
    <mergeCell ref="A35:K35"/>
    <mergeCell ref="A37:K37"/>
    <mergeCell ref="B46:K46"/>
    <mergeCell ref="F47:K47"/>
    <mergeCell ref="C5:C6"/>
    <mergeCell ref="C19:C20"/>
    <mergeCell ref="C25:C28"/>
    <mergeCell ref="C38:C41"/>
    <mergeCell ref="C42:C43"/>
    <mergeCell ref="C47:C48"/>
    <mergeCell ref="E5:E6"/>
    <mergeCell ref="E32:E33"/>
    <mergeCell ref="E47:E48"/>
    <mergeCell ref="B47:B48"/>
    <mergeCell ref="B5:B6"/>
    <mergeCell ref="B8:B14"/>
    <mergeCell ref="B15:B18"/>
    <mergeCell ref="B19:B20"/>
    <mergeCell ref="B23:B29"/>
    <mergeCell ref="A74:K74"/>
    <mergeCell ref="A76:K76"/>
    <mergeCell ref="B83:K83"/>
    <mergeCell ref="A67:A69"/>
    <mergeCell ref="A71:A72"/>
    <mergeCell ref="A77:A78"/>
    <mergeCell ref="A81:A82"/>
    <mergeCell ref="C50:C51"/>
    <mergeCell ref="C53:C56"/>
    <mergeCell ref="C63:C65"/>
    <mergeCell ref="C67:C69"/>
    <mergeCell ref="B50:B52"/>
    <mergeCell ref="A102:K102"/>
    <mergeCell ref="A84:A85"/>
    <mergeCell ref="A97:A98"/>
    <mergeCell ref="A154:K154"/>
    <mergeCell ref="B156:K156"/>
    <mergeCell ref="A157:K157"/>
    <mergeCell ref="A2:A3"/>
    <mergeCell ref="A5:A6"/>
    <mergeCell ref="A8:A14"/>
    <mergeCell ref="A15:A18"/>
    <mergeCell ref="A19:A20"/>
    <mergeCell ref="A23:A29"/>
    <mergeCell ref="A30:A31"/>
    <mergeCell ref="A32:A33"/>
    <mergeCell ref="A38:A41"/>
    <mergeCell ref="A42:A43"/>
    <mergeCell ref="A44:A45"/>
    <mergeCell ref="A47:A48"/>
    <mergeCell ref="A50:A52"/>
    <mergeCell ref="A53:A56"/>
    <mergeCell ref="A59:A60"/>
    <mergeCell ref="A63:A65"/>
    <mergeCell ref="A106:K106"/>
    <mergeCell ref="A108:K108"/>
    <mergeCell ref="B30:B31"/>
    <mergeCell ref="B32:B33"/>
    <mergeCell ref="B38:B41"/>
    <mergeCell ref="B42:B43"/>
    <mergeCell ref="B122:B123"/>
    <mergeCell ref="B126:B127"/>
    <mergeCell ref="B128:B129"/>
    <mergeCell ref="B134:B135"/>
    <mergeCell ref="B137:B141"/>
    <mergeCell ref="B53:B56"/>
    <mergeCell ref="B59:B60"/>
    <mergeCell ref="B63:B65"/>
    <mergeCell ref="B67:B69"/>
    <mergeCell ref="B71:B72"/>
    <mergeCell ref="B84:B85"/>
    <mergeCell ref="A121:K121"/>
    <mergeCell ref="B124:K124"/>
    <mergeCell ref="A125:K125"/>
    <mergeCell ref="B133:K133"/>
    <mergeCell ref="F84:K84"/>
    <mergeCell ref="A86:K86"/>
    <mergeCell ref="B89:K89"/>
    <mergeCell ref="A90:K90"/>
    <mergeCell ref="B92:K92"/>
    <mergeCell ref="B149:B150"/>
    <mergeCell ref="A103:A104"/>
    <mergeCell ref="A109:A111"/>
    <mergeCell ref="A126:A127"/>
    <mergeCell ref="A128:A130"/>
    <mergeCell ref="A131:A132"/>
    <mergeCell ref="A134:A135"/>
    <mergeCell ref="A137:A141"/>
    <mergeCell ref="A136:K136"/>
    <mergeCell ref="A142:K142"/>
    <mergeCell ref="B147:K147"/>
    <mergeCell ref="A148:K148"/>
    <mergeCell ref="C137:C141"/>
    <mergeCell ref="C149:C150"/>
    <mergeCell ref="D103:D104"/>
    <mergeCell ref="D122:D123"/>
    <mergeCell ref="D134:D135"/>
    <mergeCell ref="D137:D141"/>
    <mergeCell ref="D149:D150"/>
    <mergeCell ref="E143:E144"/>
    <mergeCell ref="F134:K134"/>
    <mergeCell ref="B112:K112"/>
    <mergeCell ref="A113:K113"/>
    <mergeCell ref="A118:K118"/>
    <mergeCell ref="D8:D14"/>
    <mergeCell ref="D19:D20"/>
    <mergeCell ref="D25:D28"/>
    <mergeCell ref="D30:D31"/>
    <mergeCell ref="D38:D41"/>
    <mergeCell ref="D47:D48"/>
    <mergeCell ref="D67:D69"/>
    <mergeCell ref="D84:D85"/>
    <mergeCell ref="D100:D101"/>
    <mergeCell ref="A93:K93"/>
    <mergeCell ref="B99:K99"/>
    <mergeCell ref="F100:K100"/>
    <mergeCell ref="A100:A101"/>
    <mergeCell ref="B100:B101"/>
    <mergeCell ref="C84:C85"/>
    <mergeCell ref="C100:C101"/>
    <mergeCell ref="E84:E85"/>
    <mergeCell ref="E100:E101"/>
    <mergeCell ref="A49:K49"/>
    <mergeCell ref="A58:K58"/>
    <mergeCell ref="B61:K61"/>
    <mergeCell ref="A62:K62"/>
    <mergeCell ref="A66:K66"/>
    <mergeCell ref="B73:K73"/>
    <mergeCell ref="L5:L6"/>
    <mergeCell ref="M5:M6"/>
    <mergeCell ref="M47:M48"/>
    <mergeCell ref="M84:M85"/>
    <mergeCell ref="M100:M101"/>
    <mergeCell ref="M134:M135"/>
    <mergeCell ref="N5:N6"/>
    <mergeCell ref="N47:N48"/>
    <mergeCell ref="N84:N85"/>
    <mergeCell ref="N100:N101"/>
    <mergeCell ref="N134:N135"/>
    <mergeCell ref="O5:O6"/>
    <mergeCell ref="O47:O48"/>
    <mergeCell ref="O84:O85"/>
    <mergeCell ref="O100:O101"/>
    <mergeCell ref="O134:O135"/>
    <mergeCell ref="M44:O46"/>
    <mergeCell ref="B44:K45"/>
    <mergeCell ref="M2:O4"/>
    <mergeCell ref="B2:L3"/>
    <mergeCell ref="M81:O83"/>
    <mergeCell ref="B81:K82"/>
    <mergeCell ref="B131:K132"/>
    <mergeCell ref="M131:O133"/>
    <mergeCell ref="B97:K98"/>
    <mergeCell ref="M97:O99"/>
    <mergeCell ref="E134:E135"/>
    <mergeCell ref="C103:C104"/>
    <mergeCell ref="C110:C111"/>
    <mergeCell ref="C114:C115"/>
    <mergeCell ref="C122:C123"/>
    <mergeCell ref="C134:C135"/>
    <mergeCell ref="B103:B104"/>
    <mergeCell ref="B110:B111"/>
    <mergeCell ref="B114:B115"/>
  </mergeCells>
  <pageMargins left="0.25" right="0.25" top="0.75" bottom="0.75" header="0.3" footer="0.3"/>
  <pageSetup scale="37" fitToHeight="0" orientation="landscape" r:id="rId1"/>
  <rowBreaks count="13" manualBreakCount="13">
    <brk id="14" max="16383" man="1"/>
    <brk id="21" max="16383" man="1"/>
    <brk id="33" max="16383" man="1"/>
    <brk id="43" max="16383" man="1"/>
    <brk id="60" max="16383" man="1"/>
    <brk id="72" max="16383" man="1"/>
    <brk id="80" max="16383" man="1"/>
    <brk id="96" max="16383" man="1"/>
    <brk id="107" max="16383" man="1"/>
    <brk id="111" max="16383" man="1"/>
    <brk id="117" max="16383" man="1"/>
    <brk id="123" max="16383" man="1"/>
    <brk id="130" max="16383"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P44"/>
  <sheetViews>
    <sheetView topLeftCell="A15" zoomScale="70" zoomScaleNormal="70" workbookViewId="0">
      <selection activeCell="B8" sqref="B8:P16"/>
    </sheetView>
  </sheetViews>
  <sheetFormatPr defaultColWidth="9" defaultRowHeight="26.25"/>
  <cols>
    <col min="1" max="1" width="19.75" customWidth="1"/>
    <col min="2" max="2" width="14.625" customWidth="1"/>
    <col min="3" max="3" width="25.25" customWidth="1"/>
    <col min="4" max="4" width="21.75" customWidth="1"/>
    <col min="5" max="5" width="31" customWidth="1"/>
    <col min="6" max="6" width="29.625" customWidth="1"/>
    <col min="7" max="12" width="11.625" style="90" customWidth="1"/>
    <col min="13" max="13" width="23.625" style="90" customWidth="1"/>
    <col min="14" max="16" width="8.625" style="89" customWidth="1"/>
  </cols>
  <sheetData>
    <row r="1" spans="1:16" s="86" customFormat="1">
      <c r="A1" s="1135" t="s">
        <v>1037</v>
      </c>
      <c r="B1" s="1136"/>
      <c r="C1" s="1136"/>
      <c r="D1" s="1136"/>
      <c r="E1" s="1136"/>
      <c r="F1" s="1136"/>
      <c r="G1" s="1136"/>
      <c r="H1" s="1136"/>
      <c r="I1" s="1136"/>
      <c r="J1" s="1136"/>
      <c r="K1" s="1136"/>
      <c r="L1" s="1136"/>
      <c r="M1" s="1136"/>
      <c r="N1" s="1136"/>
      <c r="O1" s="1136"/>
      <c r="P1" s="1137"/>
    </row>
    <row r="2" spans="1:16" s="87" customFormat="1" ht="52.5">
      <c r="A2" s="91" t="s">
        <v>519</v>
      </c>
      <c r="B2" s="1061" t="s">
        <v>1038</v>
      </c>
      <c r="C2" s="1061"/>
      <c r="D2" s="1061"/>
      <c r="E2" s="1061"/>
      <c r="F2" s="1061"/>
      <c r="G2" s="1061"/>
      <c r="H2" s="1061"/>
      <c r="I2" s="1061"/>
      <c r="J2" s="1061"/>
      <c r="K2" s="1061"/>
      <c r="L2" s="1061"/>
      <c r="M2" s="1061"/>
      <c r="N2" s="1061"/>
      <c r="O2" s="1061"/>
      <c r="P2" s="1062"/>
    </row>
    <row r="3" spans="1:16" s="86" customFormat="1">
      <c r="A3" s="6" t="s">
        <v>521</v>
      </c>
      <c r="B3" s="1025" t="s">
        <v>687</v>
      </c>
      <c r="C3" s="1026"/>
      <c r="D3" s="1026"/>
      <c r="E3" s="1026"/>
      <c r="F3" s="1026"/>
      <c r="G3" s="1026"/>
      <c r="H3" s="1026"/>
      <c r="I3" s="1026"/>
      <c r="J3" s="1026"/>
      <c r="K3" s="1026"/>
      <c r="L3" s="1026"/>
      <c r="M3" s="1026"/>
      <c r="N3" s="1026"/>
      <c r="O3" s="1026"/>
      <c r="P3" s="1027"/>
    </row>
    <row r="4" spans="1:16" s="86" customFormat="1">
      <c r="A4" s="9"/>
      <c r="B4" s="1025" t="s">
        <v>688</v>
      </c>
      <c r="C4" s="1026"/>
      <c r="D4" s="1026"/>
      <c r="E4" s="1026"/>
      <c r="F4" s="1026"/>
      <c r="G4" s="1026"/>
      <c r="H4" s="1026"/>
      <c r="I4" s="1026"/>
      <c r="J4" s="1026"/>
      <c r="K4" s="1026"/>
      <c r="L4" s="1026"/>
      <c r="M4" s="1026"/>
      <c r="N4" s="1026"/>
      <c r="O4" s="1026"/>
      <c r="P4" s="1027"/>
    </row>
    <row r="5" spans="1:16" s="86" customFormat="1">
      <c r="A5" s="9"/>
      <c r="B5" s="92"/>
      <c r="C5" s="92"/>
      <c r="D5" s="1"/>
      <c r="E5" s="2"/>
      <c r="F5" s="2"/>
      <c r="G5" s="2"/>
      <c r="H5" s="2"/>
      <c r="I5" s="2"/>
      <c r="J5" s="2"/>
      <c r="K5" s="148"/>
      <c r="L5" s="2"/>
      <c r="M5" s="1"/>
      <c r="N5" s="83"/>
      <c r="O5" s="83"/>
      <c r="P5" s="149"/>
    </row>
    <row r="6" spans="1:16" s="86" customFormat="1">
      <c r="A6" s="11" t="s">
        <v>526</v>
      </c>
      <c r="B6" s="1014" t="s">
        <v>689</v>
      </c>
      <c r="C6" s="1015"/>
      <c r="D6" s="1015"/>
      <c r="E6" s="1015"/>
      <c r="F6" s="1015"/>
      <c r="G6" s="1015"/>
      <c r="H6" s="1015"/>
      <c r="I6" s="1015"/>
      <c r="J6" s="1015"/>
      <c r="K6" s="1015"/>
      <c r="L6" s="1015"/>
      <c r="M6" s="1015"/>
      <c r="N6" s="1015"/>
      <c r="O6" s="1015"/>
      <c r="P6" s="1016"/>
    </row>
    <row r="7" spans="1:16" s="86" customFormat="1">
      <c r="A7" s="9"/>
      <c r="B7" s="1015" t="s">
        <v>690</v>
      </c>
      <c r="C7" s="1015"/>
      <c r="D7" s="1015"/>
      <c r="E7" s="1015"/>
      <c r="F7" s="1015"/>
      <c r="G7" s="1015"/>
      <c r="H7" s="1015"/>
      <c r="I7" s="1015"/>
      <c r="J7" s="1015"/>
      <c r="K7" s="1015"/>
      <c r="L7" s="1015"/>
      <c r="M7" s="1015"/>
      <c r="N7" s="1015"/>
      <c r="O7" s="1015"/>
      <c r="P7" s="1016"/>
    </row>
    <row r="8" spans="1:16" s="86" customFormat="1">
      <c r="A8" s="9"/>
      <c r="B8" s="1015" t="s">
        <v>691</v>
      </c>
      <c r="C8" s="1015"/>
      <c r="D8" s="1015"/>
      <c r="E8" s="1015"/>
      <c r="F8" s="1015"/>
      <c r="G8" s="1015"/>
      <c r="H8" s="1015"/>
      <c r="I8" s="1015"/>
      <c r="J8" s="1015"/>
      <c r="K8" s="1015"/>
      <c r="L8" s="1015"/>
      <c r="M8" s="1015"/>
      <c r="N8" s="1015"/>
      <c r="O8" s="1015"/>
      <c r="P8" s="1016"/>
    </row>
    <row r="9" spans="1:16" s="86" customFormat="1">
      <c r="A9" s="9"/>
      <c r="B9" s="1026" t="s">
        <v>692</v>
      </c>
      <c r="C9" s="1026"/>
      <c r="D9" s="1026"/>
      <c r="E9" s="1026"/>
      <c r="F9" s="1026"/>
      <c r="G9" s="1026"/>
      <c r="H9" s="1026"/>
      <c r="I9" s="1026"/>
      <c r="J9" s="1026"/>
      <c r="K9" s="1026"/>
      <c r="L9" s="1026"/>
      <c r="M9" s="1026"/>
      <c r="N9" s="1026"/>
      <c r="O9" s="1026"/>
      <c r="P9" s="1027"/>
    </row>
    <row r="10" spans="1:16" s="86" customFormat="1">
      <c r="A10" s="9"/>
      <c r="B10" s="92"/>
      <c r="C10" s="92"/>
      <c r="D10" s="2"/>
      <c r="E10" s="2"/>
      <c r="F10" s="2"/>
      <c r="G10" s="2"/>
      <c r="H10" s="2"/>
      <c r="I10" s="2"/>
      <c r="J10" s="2"/>
      <c r="K10" s="148"/>
      <c r="L10" s="2"/>
      <c r="M10" s="1"/>
      <c r="N10" s="83"/>
      <c r="O10" s="83"/>
      <c r="P10" s="149"/>
    </row>
    <row r="11" spans="1:16" s="86" customFormat="1">
      <c r="A11" s="9" t="s">
        <v>531</v>
      </c>
      <c r="B11" s="1015" t="s">
        <v>1039</v>
      </c>
      <c r="C11" s="1015"/>
      <c r="D11" s="1015"/>
      <c r="E11" s="1015"/>
      <c r="F11" s="1015"/>
      <c r="G11" s="1015"/>
      <c r="H11" s="1015"/>
      <c r="I11" s="1015"/>
      <c r="J11" s="1015"/>
      <c r="K11" s="1015"/>
      <c r="L11" s="1015"/>
      <c r="M11" s="1015"/>
      <c r="N11" s="1015"/>
      <c r="O11" s="1015"/>
      <c r="P11" s="1016"/>
    </row>
    <row r="12" spans="1:16" s="86" customFormat="1">
      <c r="A12" s="9"/>
      <c r="B12" s="1015" t="s">
        <v>1040</v>
      </c>
      <c r="C12" s="1015"/>
      <c r="D12" s="1015"/>
      <c r="E12" s="1015"/>
      <c r="F12" s="1015"/>
      <c r="G12" s="1015"/>
      <c r="H12" s="1015"/>
      <c r="I12" s="1015"/>
      <c r="J12" s="1015"/>
      <c r="K12" s="1015"/>
      <c r="L12" s="1015"/>
      <c r="M12" s="1015"/>
      <c r="N12" s="1015"/>
      <c r="O12" s="1015"/>
      <c r="P12" s="1016"/>
    </row>
    <row r="13" spans="1:16">
      <c r="A13" s="93"/>
      <c r="P13" s="150"/>
    </row>
    <row r="14" spans="1:16" ht="14.25">
      <c r="A14" s="1123" t="s">
        <v>431</v>
      </c>
      <c r="B14" s="1117" t="s">
        <v>432</v>
      </c>
      <c r="C14" s="1118"/>
      <c r="D14" s="1118"/>
      <c r="E14" s="1118"/>
      <c r="F14" s="1118"/>
      <c r="G14" s="1118"/>
      <c r="H14" s="1118"/>
      <c r="I14" s="1118"/>
      <c r="J14" s="1118"/>
      <c r="K14" s="1118"/>
      <c r="L14" s="1118"/>
      <c r="M14" s="1119"/>
      <c r="N14" s="828" t="s">
        <v>0</v>
      </c>
      <c r="O14" s="806"/>
      <c r="P14" s="807"/>
    </row>
    <row r="15" spans="1:16" ht="35.450000000000003" customHeight="1">
      <c r="A15" s="1124"/>
      <c r="B15" s="1120"/>
      <c r="C15" s="1121"/>
      <c r="D15" s="1121"/>
      <c r="E15" s="1121"/>
      <c r="F15" s="1121"/>
      <c r="G15" s="1121"/>
      <c r="H15" s="1121"/>
      <c r="I15" s="1121"/>
      <c r="J15" s="1121"/>
      <c r="K15" s="1121"/>
      <c r="L15" s="1121"/>
      <c r="M15" s="1122"/>
      <c r="N15" s="829"/>
      <c r="O15" s="809"/>
      <c r="P15" s="810"/>
    </row>
    <row r="16" spans="1:16" ht="52.5">
      <c r="A16" s="94" t="s">
        <v>3</v>
      </c>
      <c r="B16" s="1211" t="s">
        <v>994</v>
      </c>
      <c r="C16" s="1133"/>
      <c r="D16" s="1133"/>
      <c r="E16" s="1133"/>
      <c r="F16" s="1133"/>
      <c r="G16" s="1133"/>
      <c r="H16" s="1133"/>
      <c r="I16" s="1133"/>
      <c r="J16" s="1133"/>
      <c r="K16" s="1133"/>
      <c r="L16" s="1133"/>
      <c r="M16" s="1134"/>
      <c r="N16" s="829"/>
      <c r="O16" s="809"/>
      <c r="P16" s="810"/>
    </row>
    <row r="17" spans="1:16">
      <c r="A17" s="1124" t="s">
        <v>8</v>
      </c>
      <c r="B17" s="1128" t="s">
        <v>9</v>
      </c>
      <c r="C17" s="1128" t="s">
        <v>166</v>
      </c>
      <c r="D17" s="1128" t="s">
        <v>11</v>
      </c>
      <c r="E17" s="1128" t="s">
        <v>12</v>
      </c>
      <c r="F17" s="1128" t="s">
        <v>13</v>
      </c>
      <c r="G17" s="1128" t="s">
        <v>14</v>
      </c>
      <c r="H17" s="1128"/>
      <c r="I17" s="1128"/>
      <c r="J17" s="1128"/>
      <c r="K17" s="1128"/>
      <c r="L17" s="1130"/>
      <c r="M17" s="1126" t="s">
        <v>15</v>
      </c>
      <c r="N17" s="1208" t="s">
        <v>5</v>
      </c>
      <c r="O17" s="920" t="s">
        <v>6</v>
      </c>
      <c r="P17" s="845" t="s">
        <v>7</v>
      </c>
    </row>
    <row r="18" spans="1:16">
      <c r="A18" s="1125"/>
      <c r="B18" s="1129"/>
      <c r="C18" s="1129"/>
      <c r="D18" s="1129"/>
      <c r="E18" s="1129"/>
      <c r="F18" s="1129"/>
      <c r="G18" s="97">
        <v>65</v>
      </c>
      <c r="H18" s="97">
        <v>66</v>
      </c>
      <c r="I18" s="97">
        <v>67</v>
      </c>
      <c r="J18" s="97">
        <v>68</v>
      </c>
      <c r="K18" s="97">
        <v>69</v>
      </c>
      <c r="L18" s="151">
        <v>70</v>
      </c>
      <c r="M18" s="1127"/>
      <c r="N18" s="1209"/>
      <c r="O18" s="1210"/>
      <c r="P18" s="846"/>
    </row>
    <row r="19" spans="1:16">
      <c r="A19" s="1131" t="s">
        <v>995</v>
      </c>
      <c r="B19" s="1020"/>
      <c r="C19" s="1020"/>
      <c r="D19" s="1020"/>
      <c r="E19" s="1020"/>
      <c r="F19" s="1020"/>
      <c r="G19" s="1020"/>
      <c r="H19" s="1020"/>
      <c r="I19" s="1020"/>
      <c r="J19" s="1020"/>
      <c r="K19" s="1020"/>
      <c r="L19" s="1021"/>
      <c r="M19" s="152"/>
      <c r="N19" s="153"/>
      <c r="O19" s="43"/>
      <c r="P19" s="154"/>
    </row>
    <row r="20" spans="1:16" ht="315">
      <c r="A20" s="944" t="s">
        <v>1041</v>
      </c>
      <c r="B20" s="1155" t="s">
        <v>997</v>
      </c>
      <c r="C20" s="866" t="s">
        <v>1042</v>
      </c>
      <c r="D20" s="1170" t="s">
        <v>998</v>
      </c>
      <c r="E20" s="98" t="s">
        <v>1043</v>
      </c>
      <c r="F20" s="99" t="s">
        <v>1044</v>
      </c>
      <c r="G20" s="100" t="s">
        <v>34</v>
      </c>
      <c r="H20" s="100" t="s">
        <v>34</v>
      </c>
      <c r="I20" s="100" t="s">
        <v>34</v>
      </c>
      <c r="J20" s="100" t="s">
        <v>440</v>
      </c>
      <c r="K20" s="100" t="s">
        <v>440</v>
      </c>
      <c r="L20" s="155" t="s">
        <v>440</v>
      </c>
      <c r="M20" s="156" t="s">
        <v>437</v>
      </c>
      <c r="N20" s="157"/>
      <c r="O20" s="62" t="s">
        <v>435</v>
      </c>
      <c r="P20" s="158" t="s">
        <v>19</v>
      </c>
    </row>
    <row r="21" spans="1:16" ht="236.25">
      <c r="A21" s="946"/>
      <c r="B21" s="1155"/>
      <c r="C21" s="868"/>
      <c r="D21" s="1171"/>
      <c r="E21" s="103" t="s">
        <v>1045</v>
      </c>
      <c r="F21" s="103" t="s">
        <v>1046</v>
      </c>
      <c r="G21" s="104" t="s">
        <v>34</v>
      </c>
      <c r="H21" s="104" t="s">
        <v>34</v>
      </c>
      <c r="I21" s="104" t="s">
        <v>34</v>
      </c>
      <c r="J21" s="104" t="s">
        <v>457</v>
      </c>
      <c r="K21" s="104" t="s">
        <v>457</v>
      </c>
      <c r="L21" s="159" t="s">
        <v>457</v>
      </c>
      <c r="M21" s="156" t="s">
        <v>437</v>
      </c>
      <c r="N21" s="157"/>
      <c r="O21" s="62" t="s">
        <v>435</v>
      </c>
      <c r="P21" s="158" t="s">
        <v>19</v>
      </c>
    </row>
    <row r="22" spans="1:16" ht="236.25">
      <c r="A22" s="946"/>
      <c r="B22" s="1155"/>
      <c r="C22" s="868"/>
      <c r="D22" s="1171"/>
      <c r="E22" s="105"/>
      <c r="F22" s="103" t="s">
        <v>1047</v>
      </c>
      <c r="G22" s="104" t="s">
        <v>34</v>
      </c>
      <c r="H22" s="104" t="s">
        <v>34</v>
      </c>
      <c r="I22" s="104" t="s">
        <v>34</v>
      </c>
      <c r="J22" s="104" t="s">
        <v>1002</v>
      </c>
      <c r="K22" s="104" t="s">
        <v>1002</v>
      </c>
      <c r="L22" s="159" t="s">
        <v>1002</v>
      </c>
      <c r="M22" s="156" t="s">
        <v>437</v>
      </c>
      <c r="N22" s="157"/>
      <c r="O22" s="62" t="s">
        <v>435</v>
      </c>
      <c r="P22" s="158" t="s">
        <v>19</v>
      </c>
    </row>
    <row r="23" spans="1:16" ht="236.25">
      <c r="A23" s="946"/>
      <c r="B23" s="1155"/>
      <c r="C23" s="868"/>
      <c r="D23" s="1171"/>
      <c r="E23" s="105"/>
      <c r="F23" s="106" t="s">
        <v>1048</v>
      </c>
      <c r="G23" s="104" t="s">
        <v>34</v>
      </c>
      <c r="H23" s="104" t="s">
        <v>34</v>
      </c>
      <c r="I23" s="104" t="s">
        <v>34</v>
      </c>
      <c r="J23" s="104" t="s">
        <v>457</v>
      </c>
      <c r="K23" s="104" t="s">
        <v>457</v>
      </c>
      <c r="L23" s="159" t="s">
        <v>457</v>
      </c>
      <c r="M23" s="156" t="s">
        <v>437</v>
      </c>
      <c r="N23" s="157"/>
      <c r="O23" s="62" t="s">
        <v>435</v>
      </c>
      <c r="P23" s="158" t="s">
        <v>19</v>
      </c>
    </row>
    <row r="24" spans="1:16" ht="236.25">
      <c r="A24" s="945"/>
      <c r="B24" s="1155"/>
      <c r="C24" s="867"/>
      <c r="D24" s="1172"/>
      <c r="E24" s="98"/>
      <c r="F24" s="99" t="s">
        <v>1049</v>
      </c>
      <c r="G24" s="100" t="s">
        <v>34</v>
      </c>
      <c r="H24" s="100" t="s">
        <v>34</v>
      </c>
      <c r="I24" s="100" t="s">
        <v>34</v>
      </c>
      <c r="J24" s="45" t="s">
        <v>454</v>
      </c>
      <c r="K24" s="45" t="s">
        <v>454</v>
      </c>
      <c r="L24" s="46" t="s">
        <v>454</v>
      </c>
      <c r="M24" s="156" t="s">
        <v>437</v>
      </c>
      <c r="N24" s="157"/>
      <c r="O24" s="62" t="s">
        <v>435</v>
      </c>
      <c r="P24" s="158" t="s">
        <v>19</v>
      </c>
    </row>
    <row r="25" spans="1:16">
      <c r="A25" s="1212" t="s">
        <v>1005</v>
      </c>
      <c r="B25" s="1002"/>
      <c r="C25" s="1002"/>
      <c r="D25" s="1002"/>
      <c r="E25" s="1002"/>
      <c r="F25" s="1002"/>
      <c r="G25" s="1002"/>
      <c r="H25" s="1002"/>
      <c r="I25" s="1002"/>
      <c r="J25" s="1002"/>
      <c r="K25" s="1002"/>
      <c r="L25" s="1003"/>
      <c r="M25" s="160"/>
      <c r="N25" s="161"/>
      <c r="O25" s="62"/>
      <c r="P25" s="162"/>
    </row>
    <row r="26" spans="1:16" ht="341.25">
      <c r="A26" s="107" t="s">
        <v>1050</v>
      </c>
      <c r="B26" s="34" t="s">
        <v>997</v>
      </c>
      <c r="C26" s="21" t="s">
        <v>1042</v>
      </c>
      <c r="D26" s="21" t="s">
        <v>1008</v>
      </c>
      <c r="E26" s="108" t="s">
        <v>1051</v>
      </c>
      <c r="F26" s="109" t="s">
        <v>1052</v>
      </c>
      <c r="G26" s="110" t="s">
        <v>464</v>
      </c>
      <c r="H26" s="111" t="s">
        <v>454</v>
      </c>
      <c r="I26" s="111" t="s">
        <v>454</v>
      </c>
      <c r="J26" s="111" t="s">
        <v>454</v>
      </c>
      <c r="K26" s="111" t="s">
        <v>454</v>
      </c>
      <c r="L26" s="163" t="s">
        <v>454</v>
      </c>
      <c r="M26" s="164" t="s">
        <v>465</v>
      </c>
      <c r="N26" s="157"/>
      <c r="O26" s="62" t="s">
        <v>459</v>
      </c>
      <c r="P26" s="158" t="s">
        <v>19</v>
      </c>
    </row>
    <row r="27" spans="1:16" ht="315">
      <c r="A27" s="112" t="s">
        <v>1053</v>
      </c>
      <c r="B27" s="34"/>
      <c r="C27" s="21" t="s">
        <v>1054</v>
      </c>
      <c r="D27" s="21"/>
      <c r="E27" s="113" t="s">
        <v>1055</v>
      </c>
      <c r="F27" s="114" t="s">
        <v>1056</v>
      </c>
      <c r="G27" s="104" t="s">
        <v>34</v>
      </c>
      <c r="H27" s="104" t="s">
        <v>34</v>
      </c>
      <c r="I27" s="104" t="s">
        <v>34</v>
      </c>
      <c r="J27" s="165" t="s">
        <v>476</v>
      </c>
      <c r="K27" s="165" t="s">
        <v>476</v>
      </c>
      <c r="L27" s="166" t="s">
        <v>476</v>
      </c>
      <c r="M27" s="167" t="s">
        <v>471</v>
      </c>
      <c r="N27" s="157"/>
      <c r="O27" s="62" t="s">
        <v>468</v>
      </c>
      <c r="P27" s="158" t="s">
        <v>19</v>
      </c>
    </row>
    <row r="28" spans="1:16" ht="52.5">
      <c r="A28" s="94" t="s">
        <v>3</v>
      </c>
      <c r="B28" s="1168" t="s">
        <v>1015</v>
      </c>
      <c r="C28" s="1168"/>
      <c r="D28" s="1168"/>
      <c r="E28" s="1168"/>
      <c r="F28" s="1168"/>
      <c r="G28" s="1168"/>
      <c r="H28" s="1168"/>
      <c r="I28" s="1168"/>
      <c r="J28" s="1168"/>
      <c r="K28" s="1168"/>
      <c r="L28" s="1211"/>
      <c r="M28" s="168"/>
      <c r="N28" s="161"/>
      <c r="O28" s="62"/>
      <c r="P28" s="162"/>
    </row>
    <row r="29" spans="1:16" ht="58.5" customHeight="1">
      <c r="A29" s="1212" t="s">
        <v>1016</v>
      </c>
      <c r="B29" s="1002"/>
      <c r="C29" s="1002"/>
      <c r="D29" s="1002"/>
      <c r="E29" s="1002"/>
      <c r="F29" s="1002"/>
      <c r="G29" s="1002"/>
      <c r="H29" s="1002"/>
      <c r="I29" s="1002"/>
      <c r="J29" s="1002"/>
      <c r="K29" s="1002"/>
      <c r="L29" s="1003"/>
      <c r="M29" s="160"/>
      <c r="N29" s="161"/>
      <c r="O29" s="62"/>
      <c r="P29" s="162"/>
    </row>
    <row r="30" spans="1:16" ht="341.25">
      <c r="A30" s="107" t="s">
        <v>480</v>
      </c>
      <c r="B30" s="1155" t="s">
        <v>997</v>
      </c>
      <c r="C30" s="115" t="s">
        <v>1042</v>
      </c>
      <c r="D30" s="1155" t="s">
        <v>1018</v>
      </c>
      <c r="E30" s="116" t="s">
        <v>1057</v>
      </c>
      <c r="F30" s="117" t="s">
        <v>1058</v>
      </c>
      <c r="G30" s="110" t="s">
        <v>34</v>
      </c>
      <c r="H30" s="110" t="s">
        <v>34</v>
      </c>
      <c r="I30" s="110" t="s">
        <v>34</v>
      </c>
      <c r="J30" s="100" t="s">
        <v>457</v>
      </c>
      <c r="K30" s="100" t="s">
        <v>457</v>
      </c>
      <c r="L30" s="155" t="s">
        <v>457</v>
      </c>
      <c r="M30" s="164" t="s">
        <v>461</v>
      </c>
      <c r="N30" s="157"/>
      <c r="O30" s="62" t="s">
        <v>479</v>
      </c>
      <c r="P30" s="158" t="s">
        <v>19</v>
      </c>
    </row>
    <row r="31" spans="1:16" ht="315">
      <c r="A31" s="107" t="s">
        <v>1059</v>
      </c>
      <c r="B31" s="1155"/>
      <c r="C31" s="118" t="s">
        <v>1060</v>
      </c>
      <c r="D31" s="1155"/>
      <c r="E31" s="116" t="s">
        <v>1061</v>
      </c>
      <c r="F31" s="119" t="s">
        <v>1062</v>
      </c>
      <c r="G31" s="110" t="s">
        <v>34</v>
      </c>
      <c r="H31" s="110" t="s">
        <v>34</v>
      </c>
      <c r="I31" s="110" t="s">
        <v>34</v>
      </c>
      <c r="J31" s="100" t="s">
        <v>441</v>
      </c>
      <c r="K31" s="100" t="s">
        <v>441</v>
      </c>
      <c r="L31" s="155" t="s">
        <v>441</v>
      </c>
      <c r="M31" s="164" t="s">
        <v>471</v>
      </c>
      <c r="N31" s="157"/>
      <c r="O31" s="62" t="s">
        <v>479</v>
      </c>
      <c r="P31" s="158" t="s">
        <v>19</v>
      </c>
    </row>
    <row r="32" spans="1:16" ht="341.25">
      <c r="A32" s="120" t="s">
        <v>1063</v>
      </c>
      <c r="B32" s="121" t="s">
        <v>997</v>
      </c>
      <c r="C32" s="122" t="s">
        <v>1042</v>
      </c>
      <c r="D32" s="123" t="s">
        <v>1008</v>
      </c>
      <c r="E32" s="113"/>
      <c r="F32" s="124" t="s">
        <v>1064</v>
      </c>
      <c r="G32" s="35" t="s">
        <v>464</v>
      </c>
      <c r="H32" s="18" t="s">
        <v>454</v>
      </c>
      <c r="I32" s="18" t="s">
        <v>454</v>
      </c>
      <c r="J32" s="165" t="s">
        <v>454</v>
      </c>
      <c r="K32" s="165" t="s">
        <v>454</v>
      </c>
      <c r="L32" s="166" t="s">
        <v>454</v>
      </c>
      <c r="M32" s="167" t="s">
        <v>1065</v>
      </c>
      <c r="N32" s="169"/>
      <c r="O32" s="170" t="s">
        <v>1024</v>
      </c>
      <c r="P32" s="158" t="s">
        <v>19</v>
      </c>
    </row>
    <row r="33" spans="1:16" ht="236.25">
      <c r="A33" s="125" t="s">
        <v>1066</v>
      </c>
      <c r="B33" s="33"/>
      <c r="C33" s="118" t="s">
        <v>797</v>
      </c>
      <c r="D33" s="33"/>
      <c r="E33" s="108"/>
      <c r="F33" s="126" t="s">
        <v>1067</v>
      </c>
      <c r="G33" s="110" t="s">
        <v>34</v>
      </c>
      <c r="H33" s="110" t="s">
        <v>34</v>
      </c>
      <c r="I33" s="110" t="s">
        <v>34</v>
      </c>
      <c r="J33" s="110" t="s">
        <v>449</v>
      </c>
      <c r="K33" s="110" t="s">
        <v>449</v>
      </c>
      <c r="L33" s="171" t="s">
        <v>449</v>
      </c>
      <c r="M33" s="172" t="s">
        <v>1068</v>
      </c>
      <c r="N33" s="157"/>
      <c r="O33" s="62" t="s">
        <v>479</v>
      </c>
      <c r="P33" s="158" t="s">
        <v>19</v>
      </c>
    </row>
    <row r="34" spans="1:16" ht="236.25">
      <c r="A34" s="127" t="s">
        <v>1069</v>
      </c>
      <c r="B34" s="121"/>
      <c r="C34" s="123" t="s">
        <v>1070</v>
      </c>
      <c r="D34" s="123"/>
      <c r="E34" s="128"/>
      <c r="F34" s="106" t="s">
        <v>1071</v>
      </c>
      <c r="G34" s="110" t="s">
        <v>34</v>
      </c>
      <c r="H34" s="110" t="s">
        <v>34</v>
      </c>
      <c r="I34" s="110" t="s">
        <v>34</v>
      </c>
      <c r="J34" s="165" t="s">
        <v>454</v>
      </c>
      <c r="K34" s="165" t="s">
        <v>454</v>
      </c>
      <c r="L34" s="166" t="s">
        <v>454</v>
      </c>
      <c r="M34" s="167" t="s">
        <v>1068</v>
      </c>
      <c r="N34" s="169"/>
      <c r="O34" s="173" t="s">
        <v>1024</v>
      </c>
      <c r="P34" s="158" t="s">
        <v>19</v>
      </c>
    </row>
    <row r="35" spans="1:16">
      <c r="A35" s="1213" t="s">
        <v>489</v>
      </c>
      <c r="B35" s="1183"/>
      <c r="C35" s="1183"/>
      <c r="D35" s="1183"/>
      <c r="E35" s="1183"/>
      <c r="F35" s="1183"/>
      <c r="G35" s="1183"/>
      <c r="H35" s="1183"/>
      <c r="I35" s="1183"/>
      <c r="J35" s="1183"/>
      <c r="K35" s="1183"/>
      <c r="L35" s="1214"/>
      <c r="M35" s="174"/>
      <c r="N35" s="161"/>
      <c r="O35" s="175"/>
      <c r="P35" s="162"/>
    </row>
    <row r="36" spans="1:16" s="88" customFormat="1" ht="409.5">
      <c r="A36" s="129" t="s">
        <v>491</v>
      </c>
      <c r="B36" s="130"/>
      <c r="C36" s="130" t="s">
        <v>1072</v>
      </c>
      <c r="D36" s="130"/>
      <c r="E36" s="131" t="s">
        <v>1073</v>
      </c>
      <c r="F36" s="114"/>
      <c r="G36" s="110" t="s">
        <v>34</v>
      </c>
      <c r="H36" s="110" t="s">
        <v>34</v>
      </c>
      <c r="I36" s="110" t="s">
        <v>34</v>
      </c>
      <c r="J36" s="165" t="s">
        <v>1031</v>
      </c>
      <c r="K36" s="165" t="s">
        <v>1031</v>
      </c>
      <c r="L36" s="166" t="s">
        <v>1031</v>
      </c>
      <c r="M36" s="167" t="s">
        <v>492</v>
      </c>
      <c r="N36" s="161"/>
      <c r="O36" s="173" t="s">
        <v>490</v>
      </c>
      <c r="P36" s="158" t="s">
        <v>19</v>
      </c>
    </row>
    <row r="37" spans="1:16" ht="52.5">
      <c r="A37" s="132" t="s">
        <v>3</v>
      </c>
      <c r="B37" s="1185" t="s">
        <v>1032</v>
      </c>
      <c r="C37" s="1168"/>
      <c r="D37" s="1168"/>
      <c r="E37" s="1168"/>
      <c r="F37" s="1168"/>
      <c r="G37" s="1168"/>
      <c r="H37" s="1168"/>
      <c r="I37" s="1168"/>
      <c r="J37" s="1168"/>
      <c r="K37" s="1168"/>
      <c r="L37" s="1211"/>
      <c r="M37" s="168"/>
      <c r="N37" s="161"/>
      <c r="O37" s="49"/>
      <c r="P37" s="162"/>
    </row>
    <row r="38" spans="1:16">
      <c r="A38" s="1213" t="s">
        <v>496</v>
      </c>
      <c r="B38" s="1183"/>
      <c r="C38" s="1183"/>
      <c r="D38" s="1183"/>
      <c r="E38" s="1183"/>
      <c r="F38" s="1183"/>
      <c r="G38" s="1183"/>
      <c r="H38" s="1183"/>
      <c r="I38" s="1183"/>
      <c r="J38" s="1183"/>
      <c r="K38" s="1183"/>
      <c r="L38" s="1214"/>
      <c r="M38" s="174"/>
      <c r="N38" s="161"/>
      <c r="O38" s="49"/>
      <c r="P38" s="162"/>
    </row>
    <row r="39" spans="1:16" s="88" customFormat="1" ht="341.25">
      <c r="A39" s="129" t="s">
        <v>498</v>
      </c>
      <c r="B39" s="130"/>
      <c r="C39" s="130" t="s">
        <v>1042</v>
      </c>
      <c r="D39" s="130"/>
      <c r="E39" s="113"/>
      <c r="F39" s="133" t="s">
        <v>1034</v>
      </c>
      <c r="G39" s="110" t="s">
        <v>34</v>
      </c>
      <c r="H39" s="110" t="s">
        <v>34</v>
      </c>
      <c r="I39" s="110" t="s">
        <v>34</v>
      </c>
      <c r="J39" s="165" t="s">
        <v>464</v>
      </c>
      <c r="K39" s="165" t="s">
        <v>464</v>
      </c>
      <c r="L39" s="166" t="s">
        <v>464</v>
      </c>
      <c r="M39" s="167" t="s">
        <v>501</v>
      </c>
      <c r="N39" s="176"/>
      <c r="O39" s="177" t="s">
        <v>497</v>
      </c>
      <c r="P39" s="178" t="s">
        <v>19</v>
      </c>
    </row>
    <row r="40" spans="1:16" s="88" customFormat="1" ht="262.5">
      <c r="A40" s="134" t="s">
        <v>502</v>
      </c>
      <c r="B40" s="135"/>
      <c r="C40" s="135" t="s">
        <v>1074</v>
      </c>
      <c r="D40" s="135"/>
      <c r="E40" s="136"/>
      <c r="F40" s="137" t="s">
        <v>1036</v>
      </c>
      <c r="G40" s="138" t="s">
        <v>34</v>
      </c>
      <c r="H40" s="138" t="s">
        <v>34</v>
      </c>
      <c r="I40" s="138" t="s">
        <v>34</v>
      </c>
      <c r="J40" s="179" t="s">
        <v>1031</v>
      </c>
      <c r="K40" s="179" t="s">
        <v>1031</v>
      </c>
      <c r="L40" s="180" t="s">
        <v>1031</v>
      </c>
      <c r="M40" s="181" t="s">
        <v>501</v>
      </c>
      <c r="N40" s="182"/>
      <c r="O40" s="183" t="s">
        <v>497</v>
      </c>
      <c r="P40" s="184" t="s">
        <v>19</v>
      </c>
    </row>
    <row r="42" spans="1:16" s="89" customFormat="1">
      <c r="A42" s="139">
        <v>11</v>
      </c>
      <c r="B42" s="140" t="s">
        <v>600</v>
      </c>
      <c r="C42" s="141"/>
      <c r="D42" s="142" t="s">
        <v>564</v>
      </c>
      <c r="E42" s="143">
        <v>4</v>
      </c>
      <c r="F42" s="142"/>
      <c r="G42" s="144"/>
      <c r="H42" s="144"/>
      <c r="I42" s="144"/>
      <c r="J42" s="144"/>
      <c r="K42" s="144"/>
      <c r="L42" s="144"/>
      <c r="M42" s="144"/>
    </row>
    <row r="43" spans="1:16">
      <c r="D43" s="145" t="s">
        <v>565</v>
      </c>
      <c r="E43" s="146">
        <v>11</v>
      </c>
      <c r="F43" s="145"/>
    </row>
    <row r="44" spans="1:16">
      <c r="D44" s="73" t="s">
        <v>566</v>
      </c>
      <c r="E44" s="147">
        <f>E42+E43</f>
        <v>15</v>
      </c>
      <c r="F44" s="73"/>
    </row>
  </sheetData>
  <mergeCells count="38">
    <mergeCell ref="A1:P1"/>
    <mergeCell ref="B2:P2"/>
    <mergeCell ref="B3:P3"/>
    <mergeCell ref="B4:P4"/>
    <mergeCell ref="B6:P6"/>
    <mergeCell ref="B7:P7"/>
    <mergeCell ref="B8:P8"/>
    <mergeCell ref="B9:P9"/>
    <mergeCell ref="B11:P11"/>
    <mergeCell ref="B12:P12"/>
    <mergeCell ref="A19:L19"/>
    <mergeCell ref="A25:L25"/>
    <mergeCell ref="B28:L28"/>
    <mergeCell ref="F17:F18"/>
    <mergeCell ref="M17:M18"/>
    <mergeCell ref="A29:L29"/>
    <mergeCell ref="A35:L35"/>
    <mergeCell ref="B37:L37"/>
    <mergeCell ref="A38:L38"/>
    <mergeCell ref="A14:A15"/>
    <mergeCell ref="A17:A18"/>
    <mergeCell ref="A20:A24"/>
    <mergeCell ref="B17:B18"/>
    <mergeCell ref="B20:B24"/>
    <mergeCell ref="B30:B31"/>
    <mergeCell ref="C17:C18"/>
    <mergeCell ref="C20:C24"/>
    <mergeCell ref="D17:D18"/>
    <mergeCell ref="D20:D24"/>
    <mergeCell ref="D30:D31"/>
    <mergeCell ref="E17:E18"/>
    <mergeCell ref="N17:N18"/>
    <mergeCell ref="O17:O18"/>
    <mergeCell ref="P17:P18"/>
    <mergeCell ref="N14:P16"/>
    <mergeCell ref="B14:M15"/>
    <mergeCell ref="B16:M16"/>
    <mergeCell ref="G17:L1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4F29A"/>
    <pageSetUpPr fitToPage="1"/>
  </sheetPr>
  <dimension ref="A1:O79"/>
  <sheetViews>
    <sheetView zoomScale="60" zoomScaleNormal="60" workbookViewId="0">
      <selection activeCell="B8" sqref="B8:O14"/>
    </sheetView>
  </sheetViews>
  <sheetFormatPr defaultColWidth="13.125" defaultRowHeight="18"/>
  <cols>
    <col min="1" max="1" width="29.875" style="3" customWidth="1"/>
    <col min="2" max="2" width="22" style="3" customWidth="1"/>
    <col min="3" max="3" width="32.375" style="3" customWidth="1"/>
    <col min="4" max="4" width="24.875" style="3" customWidth="1"/>
    <col min="5" max="5" width="49.875" style="3" customWidth="1"/>
    <col min="6" max="8" width="10.625" style="3" customWidth="1"/>
    <col min="9" max="9" width="10.625" style="4" customWidth="1"/>
    <col min="10" max="11" width="10.625" style="3" customWidth="1"/>
    <col min="12" max="12" width="29.5" style="5" customWidth="1"/>
    <col min="13" max="15" width="14" style="4" customWidth="1"/>
    <col min="16" max="18" width="10.125" style="3" customWidth="1"/>
    <col min="19" max="16384" width="13.125" style="3"/>
  </cols>
  <sheetData>
    <row r="1" spans="1:15" s="1" customFormat="1" ht="87.75" customHeight="1">
      <c r="A1" s="1236" t="s">
        <v>1075</v>
      </c>
      <c r="B1" s="1237"/>
      <c r="C1" s="1237"/>
      <c r="D1" s="1237"/>
      <c r="E1" s="1237"/>
      <c r="F1" s="1237"/>
      <c r="G1" s="1237"/>
      <c r="H1" s="1237"/>
      <c r="I1" s="1237"/>
      <c r="J1" s="1237"/>
      <c r="K1" s="1237"/>
      <c r="L1" s="1237"/>
      <c r="M1" s="1237"/>
      <c r="N1" s="1237"/>
      <c r="O1" s="1238"/>
    </row>
    <row r="2" spans="1:15" s="2" customFormat="1" ht="26.25">
      <c r="A2" s="6" t="s">
        <v>519</v>
      </c>
      <c r="B2" s="1061" t="s">
        <v>1076</v>
      </c>
      <c r="C2" s="1061"/>
      <c r="D2" s="1061"/>
      <c r="E2" s="1061"/>
      <c r="F2" s="1061"/>
      <c r="G2" s="1061"/>
      <c r="H2" s="1061"/>
      <c r="I2" s="1061"/>
      <c r="J2" s="1061"/>
      <c r="K2" s="1061"/>
      <c r="L2" s="1061"/>
      <c r="M2" s="1061"/>
      <c r="N2" s="1061"/>
      <c r="O2" s="1062"/>
    </row>
    <row r="3" spans="1:15" s="2" customFormat="1" ht="26.25" customHeight="1">
      <c r="A3" s="6"/>
      <c r="B3" s="1239" t="s">
        <v>1077</v>
      </c>
      <c r="C3" s="1239"/>
      <c r="D3" s="1239"/>
      <c r="E3" s="1239"/>
      <c r="F3" s="1239"/>
      <c r="G3" s="1239"/>
      <c r="H3" s="1239"/>
      <c r="I3" s="1239"/>
      <c r="J3" s="1239"/>
      <c r="K3" s="1239"/>
      <c r="L3" s="1239"/>
      <c r="M3" s="1239"/>
      <c r="N3" s="1239"/>
      <c r="O3" s="1240"/>
    </row>
    <row r="4" spans="1:15" s="2" customFormat="1" ht="26.25">
      <c r="A4" s="6"/>
      <c r="B4" s="1241"/>
      <c r="C4" s="1241"/>
      <c r="D4" s="1241"/>
      <c r="E4" s="1241"/>
      <c r="F4" s="1241"/>
      <c r="G4" s="1241"/>
      <c r="H4" s="1241"/>
      <c r="I4" s="1241"/>
      <c r="J4" s="1241"/>
      <c r="K4" s="1241"/>
      <c r="L4" s="1241"/>
      <c r="M4" s="1241"/>
      <c r="N4" s="1241"/>
      <c r="O4" s="1242"/>
    </row>
    <row r="5" spans="1:15" s="1" customFormat="1" ht="26.25">
      <c r="A5" s="6" t="s">
        <v>521</v>
      </c>
      <c r="B5" s="1026" t="s">
        <v>1078</v>
      </c>
      <c r="C5" s="1026"/>
      <c r="D5" s="1026"/>
      <c r="E5" s="1026"/>
      <c r="F5" s="1026"/>
      <c r="G5" s="1026"/>
      <c r="H5" s="1026"/>
      <c r="I5" s="1026"/>
      <c r="J5" s="1026"/>
      <c r="K5" s="1026"/>
      <c r="L5" s="1026"/>
      <c r="M5" s="1026"/>
      <c r="N5" s="1026"/>
      <c r="O5" s="1027"/>
    </row>
    <row r="6" spans="1:15" s="1" customFormat="1" ht="26.25" customHeight="1">
      <c r="A6" s="6"/>
      <c r="B6" s="1226" t="s">
        <v>1079</v>
      </c>
      <c r="C6" s="1226"/>
      <c r="D6" s="1226"/>
      <c r="E6" s="1226"/>
      <c r="F6" s="1226"/>
      <c r="G6" s="1226"/>
      <c r="H6" s="1226"/>
      <c r="I6" s="1226"/>
      <c r="J6" s="1226"/>
      <c r="K6" s="1226"/>
      <c r="L6" s="1226"/>
      <c r="M6" s="1226"/>
      <c r="N6" s="1226"/>
      <c r="O6" s="1227"/>
    </row>
    <row r="7" spans="1:15" s="1" customFormat="1" ht="26.25" customHeight="1">
      <c r="A7" s="6"/>
      <c r="B7" s="1217" t="s">
        <v>1080</v>
      </c>
      <c r="C7" s="1217"/>
      <c r="D7" s="1217"/>
      <c r="E7" s="1217"/>
      <c r="F7" s="1217"/>
      <c r="G7" s="1217"/>
      <c r="H7" s="1217"/>
      <c r="I7" s="1217"/>
      <c r="J7" s="1217"/>
      <c r="K7" s="1217"/>
      <c r="L7" s="1217"/>
      <c r="M7" s="1217"/>
      <c r="N7" s="1217"/>
      <c r="O7" s="1218"/>
    </row>
    <row r="8" spans="1:15" s="1" customFormat="1" ht="26.25">
      <c r="A8" s="9"/>
      <c r="B8" s="1015" t="s">
        <v>1081</v>
      </c>
      <c r="C8" s="1015"/>
      <c r="D8" s="1015"/>
      <c r="E8" s="1015"/>
      <c r="F8" s="1015"/>
      <c r="G8" s="1015"/>
      <c r="H8" s="1015"/>
      <c r="I8" s="1015"/>
      <c r="J8" s="1015"/>
      <c r="K8" s="1015"/>
      <c r="L8" s="1015"/>
      <c r="M8" s="1015"/>
      <c r="N8" s="1015"/>
      <c r="O8" s="1016"/>
    </row>
    <row r="9" spans="1:15" s="1" customFormat="1" ht="26.25" customHeight="1">
      <c r="A9" s="9"/>
      <c r="B9" s="1226" t="s">
        <v>1082</v>
      </c>
      <c r="C9" s="1226"/>
      <c r="D9" s="1226"/>
      <c r="E9" s="1226"/>
      <c r="F9" s="1226"/>
      <c r="G9" s="1226"/>
      <c r="H9" s="1226"/>
      <c r="I9" s="1226"/>
      <c r="J9" s="1226"/>
      <c r="K9" s="1226"/>
      <c r="L9" s="1226"/>
      <c r="M9" s="1226"/>
      <c r="N9" s="1226"/>
      <c r="O9" s="1227"/>
    </row>
    <row r="10" spans="1:15" s="1" customFormat="1" ht="26.25" customHeight="1">
      <c r="A10" s="9"/>
      <c r="B10" s="1217" t="s">
        <v>1083</v>
      </c>
      <c r="C10" s="1217"/>
      <c r="D10" s="1217"/>
      <c r="E10" s="1217"/>
      <c r="F10" s="1217"/>
      <c r="G10" s="1217"/>
      <c r="H10" s="1217"/>
      <c r="I10" s="1217"/>
      <c r="J10" s="1217"/>
      <c r="K10" s="1217"/>
      <c r="L10" s="1217"/>
      <c r="M10" s="1217"/>
      <c r="N10" s="1217"/>
      <c r="O10" s="1218"/>
    </row>
    <row r="11" spans="1:15" s="1" customFormat="1" ht="26.25">
      <c r="A11" s="9"/>
      <c r="B11" s="1026" t="s">
        <v>1084</v>
      </c>
      <c r="C11" s="1026"/>
      <c r="D11" s="1026"/>
      <c r="E11" s="1026"/>
      <c r="F11" s="1026"/>
      <c r="G11" s="1026"/>
      <c r="H11" s="1026"/>
      <c r="I11" s="1026"/>
      <c r="J11" s="1026"/>
      <c r="K11" s="1026"/>
      <c r="L11" s="1026"/>
      <c r="M11" s="1026"/>
      <c r="N11" s="1026"/>
      <c r="O11" s="1027"/>
    </row>
    <row r="12" spans="1:15" s="1" customFormat="1" ht="26.25">
      <c r="A12" s="9"/>
      <c r="B12" s="1234" t="s">
        <v>1085</v>
      </c>
      <c r="C12" s="1234"/>
      <c r="D12" s="1234"/>
      <c r="E12" s="1234"/>
      <c r="F12" s="1234"/>
      <c r="G12" s="1234"/>
      <c r="H12" s="1234"/>
      <c r="I12" s="1234"/>
      <c r="J12" s="1234"/>
      <c r="K12" s="1234"/>
      <c r="L12" s="1234"/>
      <c r="M12" s="1234"/>
      <c r="N12" s="1234"/>
      <c r="O12" s="1235"/>
    </row>
    <row r="13" spans="1:15" s="1" customFormat="1" ht="26.25">
      <c r="A13" s="9"/>
      <c r="B13" s="1230"/>
      <c r="C13" s="1230"/>
      <c r="D13" s="1230"/>
      <c r="E13" s="1230"/>
      <c r="F13" s="1230"/>
      <c r="G13" s="1230"/>
      <c r="H13" s="1230"/>
      <c r="I13" s="1230"/>
      <c r="J13" s="1230"/>
      <c r="K13" s="1230"/>
      <c r="L13" s="1230"/>
      <c r="M13" s="1230"/>
      <c r="N13" s="1230"/>
      <c r="O13" s="1231"/>
    </row>
    <row r="14" spans="1:15" s="1" customFormat="1" ht="26.25">
      <c r="A14" s="11" t="s">
        <v>526</v>
      </c>
      <c r="B14" s="1228" t="s">
        <v>1086</v>
      </c>
      <c r="C14" s="1228"/>
      <c r="D14" s="1228"/>
      <c r="E14" s="1228"/>
      <c r="F14" s="1228"/>
      <c r="G14" s="1228"/>
      <c r="H14" s="1228"/>
      <c r="I14" s="1228"/>
      <c r="J14" s="1228"/>
      <c r="K14" s="1228"/>
      <c r="L14" s="1228"/>
      <c r="M14" s="1228"/>
      <c r="N14" s="1228"/>
      <c r="O14" s="1229"/>
    </row>
    <row r="15" spans="1:15" s="1" customFormat="1" ht="26.25" customHeight="1">
      <c r="A15" s="11"/>
      <c r="B15" s="1226" t="s">
        <v>1087</v>
      </c>
      <c r="C15" s="1226"/>
      <c r="D15" s="1226"/>
      <c r="E15" s="1226"/>
      <c r="F15" s="1226"/>
      <c r="G15" s="1226"/>
      <c r="H15" s="1226"/>
      <c r="I15" s="1226"/>
      <c r="J15" s="1226"/>
      <c r="K15" s="1226"/>
      <c r="L15" s="1226"/>
      <c r="M15" s="1226"/>
      <c r="N15" s="1226"/>
      <c r="O15" s="1227"/>
    </row>
    <row r="16" spans="1:15" s="1" customFormat="1" ht="26.25" customHeight="1">
      <c r="A16" s="11"/>
      <c r="B16" s="1217" t="s">
        <v>1088</v>
      </c>
      <c r="C16" s="1217"/>
      <c r="D16" s="1217"/>
      <c r="E16" s="1217"/>
      <c r="F16" s="1217"/>
      <c r="G16" s="1217"/>
      <c r="H16" s="1217"/>
      <c r="I16" s="1217"/>
      <c r="J16" s="1217"/>
      <c r="K16" s="1217"/>
      <c r="L16" s="1217"/>
      <c r="M16" s="1217"/>
      <c r="N16" s="1217"/>
      <c r="O16" s="1218"/>
    </row>
    <row r="17" spans="1:15" s="1" customFormat="1" ht="26.25">
      <c r="A17" s="11"/>
      <c r="B17" s="1228" t="s">
        <v>1089</v>
      </c>
      <c r="C17" s="1228"/>
      <c r="D17" s="1228"/>
      <c r="E17" s="1228"/>
      <c r="F17" s="1228"/>
      <c r="G17" s="1228"/>
      <c r="H17" s="1228"/>
      <c r="I17" s="1228"/>
      <c r="J17" s="1228"/>
      <c r="K17" s="1228"/>
      <c r="L17" s="1228"/>
      <c r="M17" s="1228"/>
      <c r="N17" s="1228"/>
      <c r="O17" s="1229"/>
    </row>
    <row r="18" spans="1:15" s="1" customFormat="1" ht="26.25" customHeight="1">
      <c r="A18" s="11"/>
      <c r="B18" s="1226" t="s">
        <v>1090</v>
      </c>
      <c r="C18" s="1226"/>
      <c r="D18" s="1226"/>
      <c r="E18" s="1226"/>
      <c r="F18" s="1226"/>
      <c r="G18" s="1226"/>
      <c r="H18" s="1226"/>
      <c r="I18" s="1226"/>
      <c r="J18" s="1226"/>
      <c r="K18" s="1226"/>
      <c r="L18" s="1226"/>
      <c r="M18" s="1226"/>
      <c r="N18" s="1226"/>
      <c r="O18" s="1227"/>
    </row>
    <row r="19" spans="1:15" s="1" customFormat="1" ht="26.25" customHeight="1">
      <c r="A19" s="11"/>
      <c r="B19" s="1217" t="s">
        <v>1091</v>
      </c>
      <c r="C19" s="1217"/>
      <c r="D19" s="1217"/>
      <c r="E19" s="1217"/>
      <c r="F19" s="1217"/>
      <c r="G19" s="1217"/>
      <c r="H19" s="1217"/>
      <c r="I19" s="1217"/>
      <c r="J19" s="1217"/>
      <c r="K19" s="1217"/>
      <c r="L19" s="1217"/>
      <c r="M19" s="1217"/>
      <c r="N19" s="1217"/>
      <c r="O19" s="1218"/>
    </row>
    <row r="20" spans="1:15" s="1" customFormat="1" ht="26.25">
      <c r="A20" s="11"/>
      <c r="B20" s="1228" t="s">
        <v>1092</v>
      </c>
      <c r="C20" s="1228"/>
      <c r="D20" s="1228"/>
      <c r="E20" s="1228"/>
      <c r="F20" s="1228"/>
      <c r="G20" s="1228"/>
      <c r="H20" s="1228"/>
      <c r="I20" s="1228"/>
      <c r="J20" s="1228"/>
      <c r="K20" s="1228"/>
      <c r="L20" s="1228"/>
      <c r="M20" s="1228"/>
      <c r="N20" s="1228"/>
      <c r="O20" s="1229"/>
    </row>
    <row r="21" spans="1:15" s="1" customFormat="1" ht="26.25" customHeight="1">
      <c r="A21" s="11"/>
      <c r="B21" s="1226" t="s">
        <v>1093</v>
      </c>
      <c r="C21" s="1226"/>
      <c r="D21" s="1226"/>
      <c r="E21" s="1226"/>
      <c r="F21" s="1226"/>
      <c r="G21" s="1226"/>
      <c r="H21" s="1226"/>
      <c r="I21" s="1226"/>
      <c r="J21" s="1226"/>
      <c r="K21" s="1226"/>
      <c r="L21" s="1226"/>
      <c r="M21" s="1226"/>
      <c r="N21" s="1226"/>
      <c r="O21" s="1227"/>
    </row>
    <row r="22" spans="1:15" s="1" customFormat="1" ht="26.25" customHeight="1">
      <c r="A22" s="11"/>
      <c r="B22" s="1217" t="s">
        <v>1094</v>
      </c>
      <c r="C22" s="1217"/>
      <c r="D22" s="1217"/>
      <c r="E22" s="1217"/>
      <c r="F22" s="1217"/>
      <c r="G22" s="1217"/>
      <c r="H22" s="1217"/>
      <c r="I22" s="1217"/>
      <c r="J22" s="1217"/>
      <c r="K22" s="1217"/>
      <c r="L22" s="1217"/>
      <c r="M22" s="1217"/>
      <c r="N22" s="1217"/>
      <c r="O22" s="1218"/>
    </row>
    <row r="23" spans="1:15" s="1" customFormat="1" ht="26.25">
      <c r="A23" s="11"/>
      <c r="B23" s="1228" t="s">
        <v>1095</v>
      </c>
      <c r="C23" s="1228"/>
      <c r="D23" s="1228"/>
      <c r="E23" s="1228"/>
      <c r="F23" s="1228"/>
      <c r="G23" s="1228"/>
      <c r="H23" s="1228"/>
      <c r="I23" s="1228"/>
      <c r="J23" s="1228"/>
      <c r="K23" s="1228"/>
      <c r="L23" s="1228"/>
      <c r="M23" s="1228"/>
      <c r="N23" s="1228"/>
      <c r="O23" s="1229"/>
    </row>
    <row r="24" spans="1:15" s="1" customFormat="1" ht="26.25" customHeight="1">
      <c r="A24" s="11"/>
      <c r="B24" s="1226" t="s">
        <v>1096</v>
      </c>
      <c r="C24" s="1226"/>
      <c r="D24" s="1226"/>
      <c r="E24" s="1226"/>
      <c r="F24" s="1226"/>
      <c r="G24" s="1226"/>
      <c r="H24" s="1226"/>
      <c r="I24" s="1226"/>
      <c r="J24" s="1226"/>
      <c r="K24" s="1226"/>
      <c r="L24" s="1226"/>
      <c r="M24" s="1226"/>
      <c r="N24" s="1226"/>
      <c r="O24" s="1227"/>
    </row>
    <row r="25" spans="1:15" s="1" customFormat="1" ht="26.25" customHeight="1">
      <c r="A25" s="11"/>
      <c r="B25" s="1217" t="s">
        <v>1097</v>
      </c>
      <c r="C25" s="1217"/>
      <c r="D25" s="1217"/>
      <c r="E25" s="1217"/>
      <c r="F25" s="1217"/>
      <c r="G25" s="1217"/>
      <c r="H25" s="1217"/>
      <c r="I25" s="1217"/>
      <c r="J25" s="1217"/>
      <c r="K25" s="1217"/>
      <c r="L25" s="1217"/>
      <c r="M25" s="1217"/>
      <c r="N25" s="1217"/>
      <c r="O25" s="1218"/>
    </row>
    <row r="26" spans="1:15" s="1" customFormat="1" ht="26.25">
      <c r="A26" s="11"/>
      <c r="B26" s="1228" t="s">
        <v>1098</v>
      </c>
      <c r="C26" s="1228"/>
      <c r="D26" s="1228"/>
      <c r="E26" s="1228"/>
      <c r="F26" s="1228"/>
      <c r="G26" s="1228"/>
      <c r="H26" s="1228"/>
      <c r="I26" s="1228"/>
      <c r="J26" s="1228"/>
      <c r="K26" s="1228"/>
      <c r="L26" s="1228"/>
      <c r="M26" s="1228"/>
      <c r="N26" s="1228"/>
      <c r="O26" s="1229"/>
    </row>
    <row r="27" spans="1:15" s="1" customFormat="1" ht="26.25" customHeight="1">
      <c r="A27" s="11"/>
      <c r="B27" s="1226" t="s">
        <v>1099</v>
      </c>
      <c r="C27" s="1226"/>
      <c r="D27" s="1226"/>
      <c r="E27" s="1226"/>
      <c r="F27" s="1226"/>
      <c r="G27" s="1226"/>
      <c r="H27" s="1226"/>
      <c r="I27" s="1226"/>
      <c r="J27" s="1226"/>
      <c r="K27" s="1226"/>
      <c r="L27" s="1226"/>
      <c r="M27" s="1226"/>
      <c r="N27" s="1226"/>
      <c r="O27" s="1227"/>
    </row>
    <row r="28" spans="1:15" s="1" customFormat="1" ht="26.25" customHeight="1">
      <c r="A28" s="11"/>
      <c r="B28" s="1217" t="s">
        <v>1100</v>
      </c>
      <c r="C28" s="1217"/>
      <c r="D28" s="1217"/>
      <c r="E28" s="1217"/>
      <c r="F28" s="1217"/>
      <c r="G28" s="1217"/>
      <c r="H28" s="1217"/>
      <c r="I28" s="1217"/>
      <c r="J28" s="1217"/>
      <c r="K28" s="1217"/>
      <c r="L28" s="1217"/>
      <c r="M28" s="1217"/>
      <c r="N28" s="1217"/>
      <c r="O28" s="1218"/>
    </row>
    <row r="29" spans="1:15" s="1" customFormat="1" ht="26.25">
      <c r="A29" s="9"/>
      <c r="B29" s="1232" t="s">
        <v>1101</v>
      </c>
      <c r="C29" s="1232"/>
      <c r="D29" s="1232"/>
      <c r="E29" s="1232"/>
      <c r="F29" s="1232"/>
      <c r="G29" s="1232"/>
      <c r="H29" s="1232"/>
      <c r="I29" s="1232"/>
      <c r="J29" s="1232"/>
      <c r="K29" s="1232"/>
      <c r="L29" s="1232"/>
      <c r="M29" s="1232"/>
      <c r="N29" s="1232"/>
      <c r="O29" s="1233"/>
    </row>
    <row r="30" spans="1:15" s="1" customFormat="1" ht="26.25" customHeight="1">
      <c r="A30" s="9"/>
      <c r="B30" s="1226" t="s">
        <v>1102</v>
      </c>
      <c r="C30" s="1226"/>
      <c r="D30" s="1226"/>
      <c r="E30" s="1226"/>
      <c r="F30" s="1226"/>
      <c r="G30" s="1226"/>
      <c r="H30" s="1226"/>
      <c r="I30" s="1226"/>
      <c r="J30" s="1226"/>
      <c r="K30" s="1226"/>
      <c r="L30" s="1226"/>
      <c r="M30" s="1226"/>
      <c r="N30" s="1226"/>
      <c r="O30" s="1227"/>
    </row>
    <row r="31" spans="1:15" s="1" customFormat="1" ht="26.25" customHeight="1">
      <c r="A31" s="9"/>
      <c r="B31" s="1217" t="s">
        <v>1103</v>
      </c>
      <c r="C31" s="1217"/>
      <c r="D31" s="1217"/>
      <c r="E31" s="1217"/>
      <c r="F31" s="1217"/>
      <c r="G31" s="1217"/>
      <c r="H31" s="1217"/>
      <c r="I31" s="1217"/>
      <c r="J31" s="1217"/>
      <c r="K31" s="1217"/>
      <c r="L31" s="1217"/>
      <c r="M31" s="1217"/>
      <c r="N31" s="1217"/>
      <c r="O31" s="1218"/>
    </row>
    <row r="32" spans="1:15" s="1" customFormat="1" ht="26.25">
      <c r="A32" s="9"/>
      <c r="B32" s="1228" t="s">
        <v>1104</v>
      </c>
      <c r="C32" s="1228"/>
      <c r="D32" s="1228"/>
      <c r="E32" s="1228"/>
      <c r="F32" s="1228"/>
      <c r="G32" s="1228"/>
      <c r="H32" s="1228"/>
      <c r="I32" s="1228"/>
      <c r="J32" s="1228"/>
      <c r="K32" s="1228"/>
      <c r="L32" s="1228"/>
      <c r="M32" s="1228"/>
      <c r="N32" s="1228"/>
      <c r="O32" s="1229"/>
    </row>
    <row r="33" spans="1:15" s="1" customFormat="1" ht="26.25" customHeight="1">
      <c r="A33" s="9"/>
      <c r="B33" s="1226" t="s">
        <v>1105</v>
      </c>
      <c r="C33" s="1226"/>
      <c r="D33" s="1226"/>
      <c r="E33" s="1226"/>
      <c r="F33" s="1226"/>
      <c r="G33" s="1226"/>
      <c r="H33" s="1226"/>
      <c r="I33" s="1226"/>
      <c r="J33" s="1226"/>
      <c r="K33" s="1226"/>
      <c r="L33" s="1226"/>
      <c r="M33" s="1226"/>
      <c r="N33" s="1226"/>
      <c r="O33" s="1227"/>
    </row>
    <row r="34" spans="1:15" s="1" customFormat="1" ht="26.25" customHeight="1">
      <c r="A34" s="9"/>
      <c r="B34" s="1226" t="s">
        <v>1106</v>
      </c>
      <c r="C34" s="1226"/>
      <c r="D34" s="1226"/>
      <c r="E34" s="1226"/>
      <c r="F34" s="1226"/>
      <c r="G34" s="1226"/>
      <c r="H34" s="1226"/>
      <c r="I34" s="1226"/>
      <c r="J34" s="1226"/>
      <c r="K34" s="1226"/>
      <c r="L34" s="1226"/>
      <c r="M34" s="1226"/>
      <c r="N34" s="1226"/>
      <c r="O34" s="1227"/>
    </row>
    <row r="35" spans="1:15" s="1" customFormat="1" ht="26.25">
      <c r="A35" s="9"/>
      <c r="B35" s="1230"/>
      <c r="C35" s="1230"/>
      <c r="D35" s="1230"/>
      <c r="E35" s="1230"/>
      <c r="F35" s="1230"/>
      <c r="G35" s="1230"/>
      <c r="H35" s="1230"/>
      <c r="I35" s="1230"/>
      <c r="J35" s="1230"/>
      <c r="K35" s="1230"/>
      <c r="L35" s="1230"/>
      <c r="M35" s="1230"/>
      <c r="N35" s="1230"/>
      <c r="O35" s="1231"/>
    </row>
    <row r="36" spans="1:15" s="1" customFormat="1" ht="26.25">
      <c r="A36" s="9" t="s">
        <v>531</v>
      </c>
      <c r="B36" s="1015" t="s">
        <v>1107</v>
      </c>
      <c r="C36" s="1015"/>
      <c r="D36" s="1015"/>
      <c r="E36" s="1015"/>
      <c r="F36" s="1015"/>
      <c r="G36" s="1015"/>
      <c r="H36" s="1015"/>
      <c r="I36" s="1015"/>
      <c r="J36" s="1015"/>
      <c r="K36" s="1015"/>
      <c r="L36" s="1015"/>
      <c r="M36" s="1015"/>
      <c r="N36" s="1015"/>
      <c r="O36" s="1016"/>
    </row>
    <row r="37" spans="1:15" s="1" customFormat="1" ht="26.25" customHeight="1">
      <c r="A37" s="9"/>
      <c r="B37" s="1226" t="s">
        <v>1108</v>
      </c>
      <c r="C37" s="1226"/>
      <c r="D37" s="1226"/>
      <c r="E37" s="1226"/>
      <c r="F37" s="1226"/>
      <c r="G37" s="1226"/>
      <c r="H37" s="1226"/>
      <c r="I37" s="1226"/>
      <c r="J37" s="1226"/>
      <c r="K37" s="1226"/>
      <c r="L37" s="1226"/>
      <c r="M37" s="1226"/>
      <c r="N37" s="1226"/>
      <c r="O37" s="1227"/>
    </row>
    <row r="38" spans="1:15" s="1" customFormat="1" ht="26.25">
      <c r="A38" s="9"/>
      <c r="B38" s="1015" t="s">
        <v>1109</v>
      </c>
      <c r="C38" s="1015"/>
      <c r="D38" s="1015"/>
      <c r="E38" s="1015"/>
      <c r="F38" s="1015"/>
      <c r="G38" s="1015"/>
      <c r="H38" s="1015"/>
      <c r="I38" s="1015"/>
      <c r="J38" s="1015"/>
      <c r="K38" s="1015"/>
      <c r="L38" s="1015"/>
      <c r="M38" s="1015"/>
      <c r="N38" s="1015"/>
      <c r="O38" s="1016"/>
    </row>
    <row r="39" spans="1:15" s="1" customFormat="1" ht="26.25">
      <c r="A39" s="9"/>
      <c r="B39" s="1217" t="s">
        <v>1110</v>
      </c>
      <c r="C39" s="1217"/>
      <c r="D39" s="1217"/>
      <c r="E39" s="1217"/>
      <c r="F39" s="1217"/>
      <c r="G39" s="1217"/>
      <c r="H39" s="1217"/>
      <c r="I39" s="1217"/>
      <c r="J39" s="1217"/>
      <c r="K39" s="1217"/>
      <c r="L39" s="1217"/>
      <c r="M39" s="1217"/>
      <c r="N39" s="1217"/>
      <c r="O39" s="1218"/>
    </row>
    <row r="40" spans="1:15" s="1" customFormat="1" ht="26.25">
      <c r="A40" s="9"/>
      <c r="B40" s="1015" t="s">
        <v>1111</v>
      </c>
      <c r="C40" s="1015"/>
      <c r="D40" s="1015"/>
      <c r="E40" s="1015"/>
      <c r="F40" s="1015"/>
      <c r="G40" s="1015"/>
      <c r="H40" s="1015"/>
      <c r="I40" s="1015"/>
      <c r="J40" s="1015"/>
      <c r="K40" s="1015"/>
      <c r="L40" s="1015"/>
      <c r="M40" s="1015"/>
      <c r="N40" s="1015"/>
      <c r="O40" s="1016"/>
    </row>
    <row r="41" spans="1:15" s="1" customFormat="1" ht="26.25">
      <c r="A41" s="9"/>
      <c r="B41" s="1217" t="s">
        <v>1112</v>
      </c>
      <c r="C41" s="1217"/>
      <c r="D41" s="1217"/>
      <c r="E41" s="1217"/>
      <c r="F41" s="1217"/>
      <c r="G41" s="1217"/>
      <c r="H41" s="1217"/>
      <c r="I41" s="1217"/>
      <c r="J41" s="1217"/>
      <c r="K41" s="1217"/>
      <c r="L41" s="1217"/>
      <c r="M41" s="1217"/>
      <c r="N41" s="1217"/>
      <c r="O41" s="1218"/>
    </row>
    <row r="42" spans="1:15" s="1" customFormat="1" ht="26.25">
      <c r="A42" s="12"/>
      <c r="B42" s="1219" t="s">
        <v>1113</v>
      </c>
      <c r="C42" s="1219"/>
      <c r="D42" s="1219"/>
      <c r="E42" s="1219"/>
      <c r="F42" s="1219"/>
      <c r="G42" s="1219"/>
      <c r="H42" s="1219"/>
      <c r="I42" s="1219"/>
      <c r="J42" s="1219"/>
      <c r="K42" s="1219"/>
      <c r="L42" s="1219"/>
      <c r="M42" s="1219"/>
      <c r="N42" s="1219"/>
      <c r="O42" s="1220"/>
    </row>
    <row r="43" spans="1:15" s="1" customFormat="1" ht="26.25">
      <c r="A43" s="1104"/>
      <c r="B43" s="1105"/>
      <c r="C43" s="1105"/>
      <c r="D43" s="1106"/>
      <c r="E43" s="1106"/>
      <c r="F43" s="1106"/>
      <c r="G43" s="1106"/>
      <c r="H43" s="1106"/>
      <c r="I43" s="1106"/>
      <c r="J43" s="1106"/>
      <c r="K43" s="1106"/>
      <c r="L43" s="1106"/>
      <c r="M43" s="1106"/>
      <c r="N43" s="1106"/>
      <c r="O43" s="1107"/>
    </row>
    <row r="44" spans="1:15" s="1" customFormat="1" ht="26.25">
      <c r="A44" s="1087" t="s">
        <v>293</v>
      </c>
      <c r="B44" s="1221" t="s">
        <v>1114</v>
      </c>
      <c r="C44" s="1222"/>
      <c r="D44" s="1222"/>
      <c r="E44" s="1222"/>
      <c r="F44" s="1222"/>
      <c r="G44" s="1222"/>
      <c r="H44" s="1222"/>
      <c r="I44" s="1222"/>
      <c r="J44" s="1222"/>
      <c r="K44" s="1222"/>
      <c r="L44" s="1223"/>
      <c r="M44" s="830" t="s">
        <v>0</v>
      </c>
      <c r="N44" s="806"/>
      <c r="O44" s="807"/>
    </row>
    <row r="45" spans="1:15" s="1" customFormat="1" ht="26.25">
      <c r="A45" s="1088"/>
      <c r="B45" s="1098"/>
      <c r="C45" s="1224"/>
      <c r="D45" s="1224"/>
      <c r="E45" s="1224"/>
      <c r="F45" s="1224"/>
      <c r="G45" s="1224"/>
      <c r="H45" s="1224"/>
      <c r="I45" s="1224"/>
      <c r="J45" s="1224"/>
      <c r="K45" s="1224"/>
      <c r="L45" s="1225"/>
      <c r="M45" s="820"/>
      <c r="N45" s="809"/>
      <c r="O45" s="810"/>
    </row>
    <row r="46" spans="1:15" s="1" customFormat="1" ht="26.25">
      <c r="A46" s="13" t="s">
        <v>3</v>
      </c>
      <c r="B46" s="1096" t="s">
        <v>916</v>
      </c>
      <c r="C46" s="1108"/>
      <c r="D46" s="1108"/>
      <c r="E46" s="1108"/>
      <c r="F46" s="1108"/>
      <c r="G46" s="1108"/>
      <c r="H46" s="1108"/>
      <c r="I46" s="1108"/>
      <c r="J46" s="1108"/>
      <c r="K46" s="1108"/>
      <c r="L46" s="1109"/>
      <c r="M46" s="820"/>
      <c r="N46" s="809"/>
      <c r="O46" s="810"/>
    </row>
    <row r="47" spans="1:15" s="1" customFormat="1" ht="26.25">
      <c r="A47" s="1088" t="s">
        <v>8</v>
      </c>
      <c r="B47" s="1089" t="s">
        <v>9</v>
      </c>
      <c r="C47" s="1089" t="s">
        <v>166</v>
      </c>
      <c r="D47" s="1089" t="s">
        <v>11</v>
      </c>
      <c r="E47" s="1089" t="s">
        <v>719</v>
      </c>
      <c r="F47" s="1089" t="s">
        <v>14</v>
      </c>
      <c r="G47" s="1089"/>
      <c r="H47" s="1089"/>
      <c r="I47" s="1089"/>
      <c r="J47" s="1089"/>
      <c r="K47" s="1096"/>
      <c r="L47" s="1099" t="s">
        <v>15</v>
      </c>
      <c r="M47" s="851" t="s">
        <v>5</v>
      </c>
      <c r="N47" s="920" t="s">
        <v>6</v>
      </c>
      <c r="O47" s="845" t="s">
        <v>7</v>
      </c>
    </row>
    <row r="48" spans="1:15" s="1" customFormat="1" ht="26.25">
      <c r="A48" s="1093"/>
      <c r="B48" s="1090"/>
      <c r="C48" s="1090"/>
      <c r="D48" s="1090"/>
      <c r="E48" s="1090"/>
      <c r="F48" s="14">
        <v>65</v>
      </c>
      <c r="G48" s="14">
        <v>66</v>
      </c>
      <c r="H48" s="14">
        <v>67</v>
      </c>
      <c r="I48" s="14">
        <v>68</v>
      </c>
      <c r="J48" s="14">
        <v>69</v>
      </c>
      <c r="K48" s="40">
        <v>70</v>
      </c>
      <c r="L48" s="1100"/>
      <c r="M48" s="852"/>
      <c r="N48" s="1210"/>
      <c r="O48" s="846"/>
    </row>
    <row r="49" spans="1:15" s="1" customFormat="1" ht="26.25">
      <c r="A49" s="1215" t="s">
        <v>1115</v>
      </c>
      <c r="B49" s="1020"/>
      <c r="C49" s="1020"/>
      <c r="D49" s="1020"/>
      <c r="E49" s="1020"/>
      <c r="F49" s="1020"/>
      <c r="G49" s="1020"/>
      <c r="H49" s="1020"/>
      <c r="I49" s="1020"/>
      <c r="J49" s="1020"/>
      <c r="K49" s="1021"/>
      <c r="L49" s="41"/>
      <c r="M49" s="42"/>
      <c r="N49" s="43"/>
      <c r="O49" s="44"/>
    </row>
    <row r="50" spans="1:15" s="1" customFormat="1" ht="78.75">
      <c r="A50" s="1159" t="s">
        <v>1116</v>
      </c>
      <c r="B50" s="882" t="s">
        <v>1117</v>
      </c>
      <c r="C50" s="882" t="s">
        <v>919</v>
      </c>
      <c r="D50" s="1045" t="s">
        <v>920</v>
      </c>
      <c r="E50" s="17" t="s">
        <v>921</v>
      </c>
      <c r="F50" s="18" t="s">
        <v>34</v>
      </c>
      <c r="G50" s="18" t="s">
        <v>34</v>
      </c>
      <c r="H50" s="18" t="s">
        <v>34</v>
      </c>
      <c r="I50" s="45">
        <v>60</v>
      </c>
      <c r="J50" s="45">
        <v>70</v>
      </c>
      <c r="K50" s="46">
        <v>80</v>
      </c>
      <c r="L50" s="47"/>
      <c r="M50" s="48" t="s">
        <v>922</v>
      </c>
      <c r="N50" s="49"/>
      <c r="O50" s="50" t="s">
        <v>19</v>
      </c>
    </row>
    <row r="51" spans="1:15" s="1" customFormat="1" ht="155.25" customHeight="1">
      <c r="A51" s="1160"/>
      <c r="B51" s="884"/>
      <c r="C51" s="884"/>
      <c r="D51" s="1046"/>
      <c r="E51" s="21" t="s">
        <v>923</v>
      </c>
      <c r="F51" s="18" t="s">
        <v>34</v>
      </c>
      <c r="G51" s="18" t="s">
        <v>34</v>
      </c>
      <c r="H51" s="18" t="s">
        <v>34</v>
      </c>
      <c r="I51" s="18">
        <v>40</v>
      </c>
      <c r="J51" s="18">
        <v>60</v>
      </c>
      <c r="K51" s="51">
        <v>80</v>
      </c>
      <c r="L51" s="52"/>
      <c r="M51" s="48" t="s">
        <v>924</v>
      </c>
      <c r="N51" s="49"/>
      <c r="O51" s="50" t="s">
        <v>19</v>
      </c>
    </row>
    <row r="52" spans="1:15" s="1" customFormat="1" ht="210">
      <c r="A52" s="22" t="s">
        <v>1118</v>
      </c>
      <c r="B52" s="21" t="s">
        <v>375</v>
      </c>
      <c r="C52" s="21" t="s">
        <v>919</v>
      </c>
      <c r="D52" s="23" t="s">
        <v>1119</v>
      </c>
      <c r="E52" s="17" t="s">
        <v>1120</v>
      </c>
      <c r="F52" s="18" t="s">
        <v>34</v>
      </c>
      <c r="G52" s="18" t="s">
        <v>34</v>
      </c>
      <c r="H52" s="18" t="s">
        <v>34</v>
      </c>
      <c r="I52" s="45">
        <v>3</v>
      </c>
      <c r="J52" s="45">
        <v>10</v>
      </c>
      <c r="K52" s="46">
        <v>15</v>
      </c>
      <c r="L52" s="47"/>
      <c r="M52" s="48" t="s">
        <v>924</v>
      </c>
      <c r="N52" s="49"/>
      <c r="O52" s="50" t="s">
        <v>19</v>
      </c>
    </row>
    <row r="53" spans="1:15" s="1" customFormat="1" ht="26.25">
      <c r="A53" s="1196" t="s">
        <v>1121</v>
      </c>
      <c r="B53" s="1197"/>
      <c r="C53" s="1197"/>
      <c r="D53" s="1197"/>
      <c r="E53" s="1197"/>
      <c r="F53" s="1197"/>
      <c r="G53" s="1197"/>
      <c r="H53" s="1197"/>
      <c r="I53" s="1197"/>
      <c r="J53" s="1197"/>
      <c r="K53" s="1216"/>
      <c r="L53" s="53"/>
      <c r="M53" s="48"/>
      <c r="N53" s="49"/>
      <c r="O53" s="50"/>
    </row>
    <row r="54" spans="1:15" s="1" customFormat="1" ht="236.25">
      <c r="A54" s="24" t="s">
        <v>1122</v>
      </c>
      <c r="B54" s="21" t="s">
        <v>375</v>
      </c>
      <c r="C54" s="21" t="s">
        <v>919</v>
      </c>
      <c r="D54" s="23" t="s">
        <v>930</v>
      </c>
      <c r="E54" s="23" t="s">
        <v>931</v>
      </c>
      <c r="F54" s="18" t="s">
        <v>136</v>
      </c>
      <c r="G54" s="18" t="s">
        <v>136</v>
      </c>
      <c r="H54" s="18" t="s">
        <v>34</v>
      </c>
      <c r="I54" s="18">
        <v>3.5</v>
      </c>
      <c r="J54" s="18">
        <v>3.8</v>
      </c>
      <c r="K54" s="54">
        <v>4</v>
      </c>
      <c r="L54" s="55"/>
      <c r="M54" s="48" t="s">
        <v>932</v>
      </c>
      <c r="N54" s="49"/>
      <c r="O54" s="50" t="s">
        <v>19</v>
      </c>
    </row>
    <row r="55" spans="1:15" s="1" customFormat="1" ht="26.25">
      <c r="A55" s="1199" t="s">
        <v>933</v>
      </c>
      <c r="B55" s="1200"/>
      <c r="C55" s="1200"/>
      <c r="D55" s="1200"/>
      <c r="E55" s="1200"/>
      <c r="F55" s="1200"/>
      <c r="G55" s="1200"/>
      <c r="H55" s="1200"/>
      <c r="I55" s="1200"/>
      <c r="J55" s="1200"/>
      <c r="K55" s="1200"/>
      <c r="L55" s="56"/>
      <c r="M55" s="48"/>
      <c r="N55" s="49"/>
      <c r="O55" s="50"/>
    </row>
    <row r="56" spans="1:15" s="1" customFormat="1" ht="367.5">
      <c r="A56" s="891" t="s">
        <v>1123</v>
      </c>
      <c r="B56" s="21" t="s">
        <v>375</v>
      </c>
      <c r="C56" s="21" t="s">
        <v>919</v>
      </c>
      <c r="D56" s="23" t="s">
        <v>935</v>
      </c>
      <c r="E56" s="21" t="s">
        <v>936</v>
      </c>
      <c r="F56" s="18" t="s">
        <v>34</v>
      </c>
      <c r="G56" s="18" t="s">
        <v>34</v>
      </c>
      <c r="H56" s="18" t="s">
        <v>34</v>
      </c>
      <c r="I56" s="18">
        <v>25</v>
      </c>
      <c r="J56" s="18">
        <v>50</v>
      </c>
      <c r="K56" s="51">
        <v>80</v>
      </c>
      <c r="L56" s="52"/>
      <c r="M56" s="48" t="s">
        <v>937</v>
      </c>
      <c r="N56" s="49"/>
      <c r="O56" s="50" t="s">
        <v>19</v>
      </c>
    </row>
    <row r="57" spans="1:15" s="1" customFormat="1" ht="210">
      <c r="A57" s="892"/>
      <c r="B57" s="882" t="s">
        <v>938</v>
      </c>
      <c r="C57" s="1045" t="s">
        <v>939</v>
      </c>
      <c r="D57" s="23" t="s">
        <v>940</v>
      </c>
      <c r="E57" s="21" t="s">
        <v>941</v>
      </c>
      <c r="F57" s="18" t="s">
        <v>34</v>
      </c>
      <c r="G57" s="18" t="s">
        <v>34</v>
      </c>
      <c r="H57" s="18" t="s">
        <v>34</v>
      </c>
      <c r="I57" s="18">
        <v>50</v>
      </c>
      <c r="J57" s="18">
        <v>70</v>
      </c>
      <c r="K57" s="51">
        <v>100</v>
      </c>
      <c r="L57" s="52"/>
      <c r="M57" s="48" t="s">
        <v>937</v>
      </c>
      <c r="N57" s="49"/>
      <c r="O57" s="50" t="s">
        <v>19</v>
      </c>
    </row>
    <row r="58" spans="1:15" s="1" customFormat="1" ht="105">
      <c r="A58" s="893"/>
      <c r="B58" s="884"/>
      <c r="C58" s="1046"/>
      <c r="D58" s="23" t="s">
        <v>942</v>
      </c>
      <c r="E58" s="29" t="s">
        <v>943</v>
      </c>
      <c r="F58" s="18" t="s">
        <v>34</v>
      </c>
      <c r="G58" s="18" t="s">
        <v>34</v>
      </c>
      <c r="H58" s="18" t="s">
        <v>34</v>
      </c>
      <c r="I58" s="18">
        <v>1</v>
      </c>
      <c r="J58" s="18">
        <v>1</v>
      </c>
      <c r="K58" s="51">
        <v>1</v>
      </c>
      <c r="L58" s="52"/>
      <c r="M58" s="48" t="s">
        <v>944</v>
      </c>
      <c r="N58" s="49"/>
      <c r="O58" s="50" t="s">
        <v>19</v>
      </c>
    </row>
    <row r="59" spans="1:15" s="1" customFormat="1" ht="26.25">
      <c r="A59" s="30" t="s">
        <v>3</v>
      </c>
      <c r="B59" s="1089" t="s">
        <v>945</v>
      </c>
      <c r="C59" s="1089"/>
      <c r="D59" s="1089"/>
      <c r="E59" s="1089"/>
      <c r="F59" s="1089"/>
      <c r="G59" s="1089"/>
      <c r="H59" s="1089"/>
      <c r="I59" s="1089"/>
      <c r="J59" s="1089"/>
      <c r="K59" s="1096"/>
      <c r="L59" s="57"/>
      <c r="M59" s="58"/>
      <c r="N59" s="49"/>
      <c r="O59" s="50"/>
    </row>
    <row r="60" spans="1:15" s="1" customFormat="1" ht="26.25">
      <c r="A60" s="1001" t="s">
        <v>946</v>
      </c>
      <c r="B60" s="1002"/>
      <c r="C60" s="1002"/>
      <c r="D60" s="1002"/>
      <c r="E60" s="1002"/>
      <c r="F60" s="1002"/>
      <c r="G60" s="1002"/>
      <c r="H60" s="1002"/>
      <c r="I60" s="1002"/>
      <c r="J60" s="1002"/>
      <c r="K60" s="1003"/>
      <c r="L60" s="59"/>
      <c r="M60" s="58"/>
      <c r="N60" s="49"/>
      <c r="O60" s="50"/>
    </row>
    <row r="61" spans="1:15" s="1" customFormat="1" ht="78.75">
      <c r="A61" s="31" t="s">
        <v>1124</v>
      </c>
      <c r="B61" s="1156" t="s">
        <v>948</v>
      </c>
      <c r="C61" s="1155" t="s">
        <v>949</v>
      </c>
      <c r="D61" s="32" t="s">
        <v>900</v>
      </c>
      <c r="E61" s="34" t="s">
        <v>950</v>
      </c>
      <c r="F61" s="35">
        <v>20</v>
      </c>
      <c r="G61" s="35">
        <v>40</v>
      </c>
      <c r="H61" s="35">
        <v>60</v>
      </c>
      <c r="I61" s="35">
        <v>80</v>
      </c>
      <c r="J61" s="35">
        <v>100</v>
      </c>
      <c r="K61" s="60" t="s">
        <v>335</v>
      </c>
      <c r="L61" s="61"/>
      <c r="M61" s="48" t="s">
        <v>951</v>
      </c>
      <c r="N61" s="62"/>
      <c r="O61" s="50" t="s">
        <v>19</v>
      </c>
    </row>
    <row r="62" spans="1:15" s="1" customFormat="1" ht="78.75">
      <c r="A62" s="31" t="s">
        <v>1125</v>
      </c>
      <c r="B62" s="1156"/>
      <c r="C62" s="1155"/>
      <c r="D62" s="32" t="s">
        <v>953</v>
      </c>
      <c r="E62" s="34" t="s">
        <v>954</v>
      </c>
      <c r="F62" s="18">
        <v>0</v>
      </c>
      <c r="G62" s="18">
        <v>20</v>
      </c>
      <c r="H62" s="18">
        <v>40</v>
      </c>
      <c r="I62" s="18">
        <v>60</v>
      </c>
      <c r="J62" s="18">
        <v>80</v>
      </c>
      <c r="K62" s="51">
        <v>100</v>
      </c>
      <c r="L62" s="52"/>
      <c r="M62" s="48" t="s">
        <v>955</v>
      </c>
      <c r="N62" s="62"/>
      <c r="O62" s="50" t="s">
        <v>19</v>
      </c>
    </row>
    <row r="63" spans="1:15" s="1" customFormat="1" ht="262.5">
      <c r="A63" s="36" t="s">
        <v>1126</v>
      </c>
      <c r="B63" s="33" t="s">
        <v>375</v>
      </c>
      <c r="C63" s="21" t="s">
        <v>919</v>
      </c>
      <c r="D63" s="33" t="s">
        <v>957</v>
      </c>
      <c r="E63" s="33" t="s">
        <v>958</v>
      </c>
      <c r="F63" s="35">
        <v>80</v>
      </c>
      <c r="G63" s="35">
        <v>80</v>
      </c>
      <c r="H63" s="35">
        <v>90</v>
      </c>
      <c r="I63" s="35">
        <v>90</v>
      </c>
      <c r="J63" s="35">
        <v>100</v>
      </c>
      <c r="K63" s="60">
        <v>100</v>
      </c>
      <c r="L63" s="61"/>
      <c r="M63" s="48" t="s">
        <v>959</v>
      </c>
      <c r="N63" s="62"/>
      <c r="O63" s="50" t="s">
        <v>19</v>
      </c>
    </row>
    <row r="64" spans="1:15" s="1" customFormat="1" ht="157.5">
      <c r="A64" s="37" t="s">
        <v>1127</v>
      </c>
      <c r="B64" s="33" t="s">
        <v>375</v>
      </c>
      <c r="C64" s="21" t="s">
        <v>919</v>
      </c>
      <c r="D64" s="33" t="s">
        <v>961</v>
      </c>
      <c r="E64" s="33" t="s">
        <v>962</v>
      </c>
      <c r="F64" s="35" t="s">
        <v>34</v>
      </c>
      <c r="G64" s="35" t="s">
        <v>34</v>
      </c>
      <c r="H64" s="35">
        <v>192</v>
      </c>
      <c r="I64" s="35">
        <v>200</v>
      </c>
      <c r="J64" s="35">
        <v>250</v>
      </c>
      <c r="K64" s="60">
        <v>300</v>
      </c>
      <c r="L64" s="63"/>
      <c r="M64" s="64" t="s">
        <v>963</v>
      </c>
      <c r="N64" s="62"/>
      <c r="O64" s="50" t="s">
        <v>19</v>
      </c>
    </row>
    <row r="65" spans="1:15" s="1" customFormat="1" ht="26.25">
      <c r="A65" s="1180" t="s">
        <v>964</v>
      </c>
      <c r="B65" s="1183"/>
      <c r="C65" s="1183"/>
      <c r="D65" s="1183"/>
      <c r="E65" s="1183"/>
      <c r="F65" s="1183"/>
      <c r="G65" s="1183"/>
      <c r="H65" s="1183"/>
      <c r="I65" s="1183"/>
      <c r="J65" s="1183"/>
      <c r="K65" s="1214"/>
      <c r="L65" s="74"/>
      <c r="M65" s="58"/>
      <c r="N65" s="62"/>
      <c r="O65" s="50"/>
    </row>
    <row r="66" spans="1:15" s="1" customFormat="1" ht="183.75">
      <c r="A66" s="37" t="s">
        <v>1128</v>
      </c>
      <c r="B66" s="33" t="s">
        <v>375</v>
      </c>
      <c r="C66" s="21" t="s">
        <v>919</v>
      </c>
      <c r="D66" s="33" t="s">
        <v>966</v>
      </c>
      <c r="E66" s="33" t="s">
        <v>967</v>
      </c>
      <c r="F66" s="35" t="s">
        <v>34</v>
      </c>
      <c r="G66" s="35" t="s">
        <v>34</v>
      </c>
      <c r="H66" s="35" t="s">
        <v>34</v>
      </c>
      <c r="I66" s="35">
        <v>3</v>
      </c>
      <c r="J66" s="35">
        <v>5</v>
      </c>
      <c r="K66" s="60">
        <v>10</v>
      </c>
      <c r="L66" s="61"/>
      <c r="M66" s="48" t="s">
        <v>968</v>
      </c>
      <c r="N66" s="62"/>
      <c r="O66" s="50" t="s">
        <v>19</v>
      </c>
    </row>
    <row r="67" spans="1:15" s="1" customFormat="1" ht="183.75">
      <c r="A67" s="37" t="s">
        <v>1129</v>
      </c>
      <c r="B67" s="33" t="s">
        <v>375</v>
      </c>
      <c r="C67" s="21" t="s">
        <v>919</v>
      </c>
      <c r="D67" s="21" t="s">
        <v>970</v>
      </c>
      <c r="E67" s="33" t="s">
        <v>971</v>
      </c>
      <c r="F67" s="35" t="s">
        <v>34</v>
      </c>
      <c r="G67" s="35" t="s">
        <v>34</v>
      </c>
      <c r="H67" s="35" t="s">
        <v>34</v>
      </c>
      <c r="I67" s="35">
        <v>3</v>
      </c>
      <c r="J67" s="35">
        <v>5</v>
      </c>
      <c r="K67" s="60">
        <v>10</v>
      </c>
      <c r="L67" s="61"/>
      <c r="M67" s="48" t="s">
        <v>968</v>
      </c>
      <c r="N67" s="62"/>
      <c r="O67" s="50" t="s">
        <v>19</v>
      </c>
    </row>
    <row r="68" spans="1:15" s="1" customFormat="1" ht="26.25">
      <c r="A68" s="1001" t="s">
        <v>379</v>
      </c>
      <c r="B68" s="1002"/>
      <c r="C68" s="1002"/>
      <c r="D68" s="1002"/>
      <c r="E68" s="1002"/>
      <c r="F68" s="1002"/>
      <c r="G68" s="1002"/>
      <c r="H68" s="1002"/>
      <c r="I68" s="1002"/>
      <c r="J68" s="1002"/>
      <c r="K68" s="1003"/>
      <c r="L68" s="59"/>
      <c r="M68" s="48"/>
      <c r="N68" s="62"/>
      <c r="O68" s="50"/>
    </row>
    <row r="69" spans="1:15" s="1" customFormat="1" ht="131.25">
      <c r="A69" s="31" t="s">
        <v>381</v>
      </c>
      <c r="B69" s="1156" t="s">
        <v>873</v>
      </c>
      <c r="C69" s="1156" t="s">
        <v>949</v>
      </c>
      <c r="D69" s="1156" t="s">
        <v>973</v>
      </c>
      <c r="E69" s="33" t="s">
        <v>974</v>
      </c>
      <c r="F69" s="35" t="s">
        <v>34</v>
      </c>
      <c r="G69" s="35" t="s">
        <v>34</v>
      </c>
      <c r="H69" s="35" t="s">
        <v>34</v>
      </c>
      <c r="I69" s="35">
        <v>80</v>
      </c>
      <c r="J69" s="35">
        <v>82</v>
      </c>
      <c r="K69" s="60">
        <v>84</v>
      </c>
      <c r="L69" s="61"/>
      <c r="M69" s="48" t="s">
        <v>975</v>
      </c>
      <c r="N69" s="62"/>
      <c r="O69" s="50" t="s">
        <v>19</v>
      </c>
    </row>
    <row r="70" spans="1:15" s="1" customFormat="1" ht="210">
      <c r="A70" s="31" t="s">
        <v>386</v>
      </c>
      <c r="B70" s="1156"/>
      <c r="C70" s="1156"/>
      <c r="D70" s="1156"/>
      <c r="E70" s="33" t="s">
        <v>977</v>
      </c>
      <c r="F70" s="35" t="s">
        <v>34</v>
      </c>
      <c r="G70" s="35" t="s">
        <v>34</v>
      </c>
      <c r="H70" s="35" t="s">
        <v>34</v>
      </c>
      <c r="I70" s="35">
        <v>80</v>
      </c>
      <c r="J70" s="35">
        <v>80</v>
      </c>
      <c r="K70" s="60">
        <v>80</v>
      </c>
      <c r="L70" s="75"/>
      <c r="M70" s="48" t="s">
        <v>978</v>
      </c>
      <c r="N70" s="62"/>
      <c r="O70" s="50" t="s">
        <v>19</v>
      </c>
    </row>
    <row r="71" spans="1:15" s="1" customFormat="1" ht="26.25">
      <c r="A71" s="30" t="s">
        <v>3</v>
      </c>
      <c r="B71" s="1089" t="s">
        <v>411</v>
      </c>
      <c r="C71" s="1089"/>
      <c r="D71" s="1089"/>
      <c r="E71" s="1089"/>
      <c r="F71" s="1089"/>
      <c r="G71" s="1089"/>
      <c r="H71" s="1089"/>
      <c r="I71" s="1089"/>
      <c r="J71" s="1089"/>
      <c r="K71" s="1096"/>
      <c r="L71" s="57"/>
      <c r="M71" s="58"/>
      <c r="N71" s="62"/>
      <c r="O71" s="50"/>
    </row>
    <row r="72" spans="1:15" s="1" customFormat="1" ht="26.25">
      <c r="A72" s="1001" t="s">
        <v>979</v>
      </c>
      <c r="B72" s="1002"/>
      <c r="C72" s="1002"/>
      <c r="D72" s="1002"/>
      <c r="E72" s="1002"/>
      <c r="F72" s="1002"/>
      <c r="G72" s="1002"/>
      <c r="H72" s="1002"/>
      <c r="I72" s="1002"/>
      <c r="J72" s="1002"/>
      <c r="K72" s="1003"/>
      <c r="L72" s="59"/>
      <c r="M72" s="58"/>
      <c r="N72" s="62"/>
      <c r="O72" s="50"/>
    </row>
    <row r="73" spans="1:15" s="1" customFormat="1" ht="210">
      <c r="A73" s="1161" t="s">
        <v>1130</v>
      </c>
      <c r="B73" s="866" t="s">
        <v>981</v>
      </c>
      <c r="C73" s="21" t="s">
        <v>895</v>
      </c>
      <c r="D73" s="23" t="s">
        <v>429</v>
      </c>
      <c r="E73" s="34" t="s">
        <v>982</v>
      </c>
      <c r="F73" s="35">
        <v>1</v>
      </c>
      <c r="G73" s="35">
        <v>3</v>
      </c>
      <c r="H73" s="35">
        <v>3</v>
      </c>
      <c r="I73" s="35">
        <v>3</v>
      </c>
      <c r="J73" s="35">
        <v>3</v>
      </c>
      <c r="K73" s="60">
        <v>3</v>
      </c>
      <c r="L73" s="61"/>
      <c r="M73" s="48" t="s">
        <v>983</v>
      </c>
      <c r="N73" s="62"/>
      <c r="O73" s="50" t="s">
        <v>19</v>
      </c>
    </row>
    <row r="74" spans="1:15" s="1" customFormat="1" ht="78.75">
      <c r="A74" s="1162"/>
      <c r="B74" s="867"/>
      <c r="C74" s="21" t="s">
        <v>984</v>
      </c>
      <c r="D74" s="23" t="s">
        <v>985</v>
      </c>
      <c r="E74" s="34" t="s">
        <v>986</v>
      </c>
      <c r="F74" s="35">
        <v>80</v>
      </c>
      <c r="G74" s="35">
        <v>82</v>
      </c>
      <c r="H74" s="35">
        <v>85</v>
      </c>
      <c r="I74" s="35">
        <v>86</v>
      </c>
      <c r="J74" s="35">
        <v>87</v>
      </c>
      <c r="K74" s="60">
        <v>88</v>
      </c>
      <c r="L74" s="61"/>
      <c r="M74" s="48" t="s">
        <v>987</v>
      </c>
      <c r="N74" s="62"/>
      <c r="O74" s="50" t="s">
        <v>19</v>
      </c>
    </row>
    <row r="75" spans="1:15" s="1" customFormat="1" ht="393.75">
      <c r="A75" s="1163" t="s">
        <v>1131</v>
      </c>
      <c r="B75" s="1155" t="s">
        <v>938</v>
      </c>
      <c r="C75" s="33" t="s">
        <v>984</v>
      </c>
      <c r="D75" s="32" t="s">
        <v>989</v>
      </c>
      <c r="E75" s="34" t="s">
        <v>990</v>
      </c>
      <c r="F75" s="65">
        <v>10</v>
      </c>
      <c r="G75" s="65">
        <v>10</v>
      </c>
      <c r="H75" s="65">
        <v>10</v>
      </c>
      <c r="I75" s="65">
        <v>10</v>
      </c>
      <c r="J75" s="65">
        <v>10</v>
      </c>
      <c r="K75" s="76">
        <v>10</v>
      </c>
      <c r="L75" s="77"/>
      <c r="M75" s="48" t="s">
        <v>983</v>
      </c>
      <c r="N75" s="62"/>
      <c r="O75" s="50" t="s">
        <v>19</v>
      </c>
    </row>
    <row r="76" spans="1:15" s="1" customFormat="1" ht="236.25">
      <c r="A76" s="1163"/>
      <c r="B76" s="1155"/>
      <c r="C76" s="34" t="s">
        <v>991</v>
      </c>
      <c r="D76" s="32" t="s">
        <v>992</v>
      </c>
      <c r="E76" s="34"/>
      <c r="F76" s="65"/>
      <c r="G76" s="65"/>
      <c r="H76" s="65"/>
      <c r="I76" s="65"/>
      <c r="J76" s="65"/>
      <c r="K76" s="76"/>
      <c r="L76" s="77"/>
      <c r="M76" s="48"/>
      <c r="N76" s="62"/>
      <c r="O76" s="50"/>
    </row>
    <row r="77" spans="1:15" s="1" customFormat="1" ht="157.5">
      <c r="A77" s="1164"/>
      <c r="B77" s="66" t="s">
        <v>817</v>
      </c>
      <c r="C77" s="67" t="s">
        <v>993</v>
      </c>
      <c r="D77" s="68" t="s">
        <v>424</v>
      </c>
      <c r="E77" s="67"/>
      <c r="F77" s="69"/>
      <c r="G77" s="69"/>
      <c r="H77" s="69"/>
      <c r="I77" s="69"/>
      <c r="J77" s="69"/>
      <c r="K77" s="78"/>
      <c r="L77" s="79"/>
      <c r="M77" s="80"/>
      <c r="N77" s="81"/>
      <c r="O77" s="82"/>
    </row>
    <row r="78" spans="1:15" s="1" customFormat="1" ht="26.25">
      <c r="F78" s="70"/>
      <c r="G78" s="70"/>
      <c r="H78" s="71"/>
      <c r="I78" s="83"/>
      <c r="K78" s="70"/>
      <c r="L78" s="84"/>
      <c r="M78" s="85"/>
      <c r="N78" s="85"/>
      <c r="O78" s="85"/>
    </row>
    <row r="79" spans="1:15" s="1" customFormat="1" ht="26.25">
      <c r="A79" s="1">
        <f>2+1+1+4+2+2+2</f>
        <v>14</v>
      </c>
      <c r="B79" s="72" t="s">
        <v>600</v>
      </c>
      <c r="C79" s="72"/>
      <c r="D79" s="73" t="s">
        <v>1132</v>
      </c>
      <c r="E79" s="2">
        <v>18</v>
      </c>
      <c r="F79" s="70"/>
      <c r="G79" s="70"/>
      <c r="H79" s="71"/>
      <c r="I79" s="83"/>
      <c r="K79" s="70"/>
      <c r="L79" s="84"/>
      <c r="M79" s="85"/>
      <c r="N79" s="85"/>
      <c r="O79" s="85"/>
    </row>
  </sheetData>
  <mergeCells count="82">
    <mergeCell ref="A1:O1"/>
    <mergeCell ref="B2:O2"/>
    <mergeCell ref="B3:O3"/>
    <mergeCell ref="B4:O4"/>
    <mergeCell ref="B5:O5"/>
    <mergeCell ref="B6:O6"/>
    <mergeCell ref="B7:O7"/>
    <mergeCell ref="B8:O8"/>
    <mergeCell ref="B9:O9"/>
    <mergeCell ref="B10:O10"/>
    <mergeCell ref="B11:O11"/>
    <mergeCell ref="B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B39:O39"/>
    <mergeCell ref="B40:O40"/>
    <mergeCell ref="B41:O41"/>
    <mergeCell ref="B42:O42"/>
    <mergeCell ref="A43:O43"/>
    <mergeCell ref="B46:L46"/>
    <mergeCell ref="F47:K47"/>
    <mergeCell ref="E47:E48"/>
    <mergeCell ref="L47:L48"/>
    <mergeCell ref="M47:M48"/>
    <mergeCell ref="N47:N48"/>
    <mergeCell ref="O47:O48"/>
    <mergeCell ref="B44:L45"/>
    <mergeCell ref="M44:O46"/>
    <mergeCell ref="A44:A45"/>
    <mergeCell ref="A47:A48"/>
    <mergeCell ref="C47:C48"/>
    <mergeCell ref="D50:D51"/>
    <mergeCell ref="D69:D70"/>
    <mergeCell ref="A49:K49"/>
    <mergeCell ref="A53:K53"/>
    <mergeCell ref="A55:K55"/>
    <mergeCell ref="B59:K59"/>
    <mergeCell ref="A60:K60"/>
    <mergeCell ref="A50:A51"/>
    <mergeCell ref="A56:A58"/>
    <mergeCell ref="C50:C51"/>
    <mergeCell ref="C57:C58"/>
    <mergeCell ref="A73:A74"/>
    <mergeCell ref="A75:A77"/>
    <mergeCell ref="B47:B48"/>
    <mergeCell ref="B50:B51"/>
    <mergeCell ref="B57:B58"/>
    <mergeCell ref="B61:B62"/>
    <mergeCell ref="B69:B70"/>
    <mergeCell ref="B73:B74"/>
    <mergeCell ref="B75:B76"/>
    <mergeCell ref="A65:K65"/>
    <mergeCell ref="A68:K68"/>
    <mergeCell ref="B71:K71"/>
    <mergeCell ref="A72:K72"/>
    <mergeCell ref="C61:C62"/>
    <mergeCell ref="C69:C70"/>
    <mergeCell ref="D47:D48"/>
  </mergeCells>
  <pageMargins left="0.7" right="0.7" top="0.75" bottom="0.75" header="0.3" footer="0.3"/>
  <pageSetup paperSize="9" scale="41"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Supapun Luengingkasoot</dc:creator>
  <cp:keywords/>
  <dc:description/>
  <cp:lastModifiedBy>Anyamanee Chatsirisupachai</cp:lastModifiedBy>
  <cp:revision/>
  <dcterms:created xsi:type="dcterms:W3CDTF">2024-11-08T03:15:00Z</dcterms:created>
  <dcterms:modified xsi:type="dcterms:W3CDTF">2026-03-19T03:30:30Z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D9F8F4750E48493CA67445B736923B81_12</vt:lpwstr>
  </property>
  <property fmtid="{D5CDD505-2E9C-101B-9397-08002B2CF9AE}" pid="3" name="KSOProductBuildVer">
    <vt:lpwstr>1033-12.2.0.20795</vt:lpwstr>
  </property>
</Properties>
</file>